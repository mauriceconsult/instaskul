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https://mtncloud-my.sharepoint.com/personal/fortunate_okello_mtn_com/Documents/Documents/MANDATE FORMS/"/>
    </mc:Choice>
  </mc:AlternateContent>
  <xr:revisionPtr revIDLastSave="31" documentId="13_ncr:1_{3DBD8D26-27FD-4EB9-B7D9-07A5EFFAD7C8}" xr6:coauthVersionLast="47" xr6:coauthVersionMax="47" xr10:uidLastSave="{479E2B93-8951-4C0B-9278-92ABE7484E43}"/>
  <bookViews>
    <workbookView xWindow="-108" yWindow="-108" windowWidth="23256" windowHeight="12456" tabRatio="737" xr2:uid="{00000000-000D-0000-FFFF-FFFF00000000}"/>
  </bookViews>
  <sheets>
    <sheet name="SignUp &amp; Provision API User" sheetId="1" r:id="rId1"/>
    <sheet name="Collection" sheetId="15" r:id="rId2"/>
    <sheet name="Disbursement and Remittance" sheetId="16" r:id="rId3"/>
    <sheet name="ValidateAccount" sheetId="9" r:id="rId4"/>
    <sheet name="Balance" sheetId="17" r:id="rId5"/>
    <sheet name="FAQ" sheetId="14" r:id="rId6"/>
    <sheet name="DocCollections" sheetId="11" r:id="rId7"/>
    <sheet name="DocDisbursements" sheetId="12" r:id="rId8"/>
    <sheet name="DocUserProvisioning" sheetId="13" r:id="rId9"/>
  </sheets>
  <definedNames>
    <definedName name="_xlnm.Print_Area" localSheetId="4">Balance!$A$1:$D$55</definedName>
    <definedName name="_xlnm.Print_Area" localSheetId="1">Collection!$A$1:$D$94</definedName>
    <definedName name="_xlnm.Print_Area" localSheetId="2">'Disbursement and Remittance'!$A$1:$D$87</definedName>
    <definedName name="_xlnm.Print_Area" localSheetId="3">ValidateAccount!$A$1:$D$55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5" i="17" l="1"/>
  <c r="A54" i="17"/>
  <c r="A50" i="17"/>
  <c r="A49" i="17"/>
  <c r="A45" i="17"/>
  <c r="A44" i="17"/>
  <c r="A40" i="17"/>
  <c r="A39" i="17"/>
  <c r="A35" i="17"/>
  <c r="A34" i="17"/>
  <c r="A30" i="17"/>
  <c r="A29" i="17"/>
  <c r="A24" i="17"/>
  <c r="A23" i="17"/>
  <c r="A19" i="17"/>
  <c r="A18" i="17"/>
  <c r="A14" i="17"/>
  <c r="A13" i="17"/>
  <c r="A9" i="17"/>
  <c r="A8" i="17"/>
  <c r="A55" i="9"/>
  <c r="A54" i="9"/>
  <c r="A50" i="9"/>
  <c r="A49" i="9"/>
  <c r="A45" i="9"/>
  <c r="A44" i="9"/>
  <c r="A40" i="9"/>
  <c r="A39" i="9"/>
  <c r="A35" i="9"/>
  <c r="A34" i="9"/>
  <c r="A30" i="9"/>
  <c r="A29" i="9"/>
  <c r="A24" i="9"/>
  <c r="A23" i="9"/>
  <c r="A19" i="9"/>
  <c r="A18" i="9"/>
  <c r="A14" i="9"/>
  <c r="A13" i="9"/>
  <c r="A9" i="9"/>
  <c r="A8" i="9"/>
  <c r="A87" i="16"/>
  <c r="A83" i="16"/>
  <c r="A78" i="16"/>
  <c r="A74" i="16"/>
  <c r="A70" i="16"/>
  <c r="A66" i="16"/>
  <c r="A62" i="16"/>
  <c r="A57" i="16"/>
  <c r="A53" i="16"/>
  <c r="A49" i="16"/>
  <c r="A45" i="16"/>
  <c r="A41" i="16"/>
  <c r="A37" i="16"/>
  <c r="A33" i="16"/>
  <c r="A29" i="16"/>
  <c r="A25" i="16"/>
  <c r="A20" i="16"/>
  <c r="A16" i="16"/>
  <c r="A12" i="16"/>
  <c r="A8" i="16"/>
  <c r="A86" i="15"/>
  <c r="A82" i="15"/>
  <c r="A78" i="15"/>
  <c r="A74" i="15"/>
  <c r="A70" i="15"/>
  <c r="A94" i="15"/>
  <c r="A90" i="15"/>
  <c r="A65" i="15"/>
  <c r="A61" i="15"/>
  <c r="A57" i="15"/>
  <c r="A53" i="15"/>
  <c r="A49" i="15"/>
  <c r="A45" i="15"/>
  <c r="A41" i="15"/>
  <c r="A37" i="15"/>
  <c r="A33" i="15"/>
  <c r="A29" i="15"/>
  <c r="A25" i="15"/>
  <c r="A20" i="15"/>
  <c r="A16" i="15"/>
  <c r="A12" i="15"/>
  <c r="A8" i="15"/>
  <c r="F11" i="1"/>
  <c r="F12" i="1"/>
  <c r="F14" i="1"/>
  <c r="F15" i="1"/>
</calcChain>
</file>

<file path=xl/sharedStrings.xml><?xml version="1.0" encoding="utf-8"?>
<sst xmlns="http://schemas.openxmlformats.org/spreadsheetml/2006/main" count="487" uniqueCount="193">
  <si>
    <t>MTN OPEN  API Integration Test</t>
  </si>
  <si>
    <t>TC#</t>
  </si>
  <si>
    <t>Test case</t>
  </si>
  <si>
    <t>Objective</t>
  </si>
  <si>
    <t>Expected Results</t>
  </si>
  <si>
    <t>Actual Results</t>
  </si>
  <si>
    <t>Notes</t>
  </si>
  <si>
    <t xml:space="preserve"> 01. Registration </t>
  </si>
  <si>
    <t>TC01-01</t>
  </si>
  <si>
    <t>SignUp</t>
  </si>
  <si>
    <t>Create a New API Manager Account</t>
  </si>
  <si>
    <t>SignUp Successful</t>
  </si>
  <si>
    <t>TC01-02</t>
  </si>
  <si>
    <t>Product Subscription</t>
  </si>
  <si>
    <t>Subscribeto a product</t>
  </si>
  <si>
    <t>Click on Product Tab and Subscribe to a  Package</t>
  </si>
  <si>
    <t xml:space="preserve"> 02. Authentication </t>
  </si>
  <si>
    <t>TC02-01</t>
  </si>
  <si>
    <t>API  User Provisioning</t>
  </si>
  <si>
    <t>POST</t>
  </si>
  <si>
    <t>Generate an API User</t>
  </si>
  <si>
    <t>To generate an API User using the Porvisioning API on Sanbox</t>
  </si>
  <si>
    <t>TC02-02</t>
  </si>
  <si>
    <t>To Generate an API Key using the Provisioning API</t>
  </si>
  <si>
    <t>TC02-03</t>
  </si>
  <si>
    <t>OAUTH 2.0</t>
  </si>
  <si>
    <t>Generate Bearer Token using Invalid Subscription key</t>
  </si>
  <si>
    <t>TC02-04</t>
  </si>
  <si>
    <t>TC02-05</t>
  </si>
  <si>
    <t>Generate Bearer Token with valid API key and Subscription Key.</t>
  </si>
  <si>
    <t>TC02-06</t>
  </si>
  <si>
    <t>TC02-07</t>
  </si>
  <si>
    <t>TC02-08</t>
  </si>
  <si>
    <t>TC02-09</t>
  </si>
  <si>
    <t>TC02-10</t>
  </si>
  <si>
    <t>Certificate management</t>
  </si>
  <si>
    <t>TC02-11</t>
  </si>
  <si>
    <t>ReferenceID</t>
  </si>
  <si>
    <t xml:space="preserve"> 01. Authentication </t>
  </si>
  <si>
    <t>TC01-03</t>
  </si>
  <si>
    <t>TC01-04</t>
  </si>
  <si>
    <t>02. Transactions</t>
  </si>
  <si>
    <t>RequestToPay</t>
  </si>
  <si>
    <t>No Exceptions- Subscriber Approves</t>
  </si>
  <si>
    <t>Send Request as per API specification</t>
  </si>
  <si>
    <t>No Exceptions- Subscriber Rejects</t>
  </si>
  <si>
    <t>No Exceptions- Approval Timeout</t>
  </si>
  <si>
    <t>Duplicate Reference ID</t>
  </si>
  <si>
    <t>Send Request with Duplicate reference ID</t>
  </si>
  <si>
    <t>Incomplete Information</t>
  </si>
  <si>
    <t>Omit Currency or Amount from Request</t>
  </si>
  <si>
    <t>Insufficient Funds</t>
  </si>
  <si>
    <t xml:space="preserve">Send a Debit Amount greater that Payer Available balance </t>
  </si>
  <si>
    <t>Invalid B-Party</t>
  </si>
  <si>
    <t>Send Request with Invalid B-Party</t>
  </si>
  <si>
    <t>Exceed Daily Limit</t>
  </si>
  <si>
    <t>Send Request that exceeds Daily Limits on Profile</t>
  </si>
  <si>
    <t>Invalid Subscription Key</t>
  </si>
  <si>
    <t>Send Request with Invalid Subscription Key</t>
  </si>
  <si>
    <t>Invalid Target Environment</t>
  </si>
  <si>
    <t>Send Request with Invalid target Environment</t>
  </si>
  <si>
    <t>Invalid OAUTH Token</t>
  </si>
  <si>
    <t>Send Request with Invalid OAUTH Token</t>
  </si>
  <si>
    <t>TC02-12</t>
  </si>
  <si>
    <t>GET</t>
  </si>
  <si>
    <t>No Exception</t>
  </si>
  <si>
    <t>Fetch status of a valid Refernce ID</t>
  </si>
  <si>
    <t>TC02-13</t>
  </si>
  <si>
    <t>Invalid Refernce ID</t>
  </si>
  <si>
    <t>Fetch status of a Invalid Refernce ID</t>
  </si>
  <si>
    <t>TC02-14</t>
  </si>
  <si>
    <t>Invalid Subsciption key</t>
  </si>
  <si>
    <t>TC02-15</t>
  </si>
  <si>
    <t>TC02-16</t>
  </si>
  <si>
    <t>Transfer</t>
  </si>
  <si>
    <t>No Exceptions</t>
  </si>
  <si>
    <t xml:space="preserve">Send an Amount greater that Sender Available balance </t>
  </si>
  <si>
    <t>Send reqeust as per API specification</t>
  </si>
  <si>
    <t>Invalid AccountHolderType</t>
  </si>
  <si>
    <t>Use Invalid AccountType</t>
  </si>
  <si>
    <t>Invalid AccountHolderID</t>
  </si>
  <si>
    <t>Use Invalid AccountID</t>
  </si>
  <si>
    <t>Set Invalid target Environment</t>
  </si>
  <si>
    <t>Use Invalid Token</t>
  </si>
  <si>
    <t>Balance</t>
  </si>
  <si>
    <t>API</t>
  </si>
  <si>
    <t>Documentation</t>
  </si>
  <si>
    <t>https://momodeveloper.mtn.com/docs/services/collection/operations/CreateAccessToken?</t>
  </si>
  <si>
    <t>Product</t>
  </si>
  <si>
    <t>Collections</t>
  </si>
  <si>
    <t>https://momodeveloper.mtn.com/docs/services/collection/operations/RequesttoPay?</t>
  </si>
  <si>
    <t>RequestToPay - Post Txn</t>
  </si>
  <si>
    <t>RequestToPay - Get Txn Status</t>
  </si>
  <si>
    <t>https://momodeveloper.mtn.com/docs/services/collection/operations/RequesttoPayTransactionStatus?</t>
  </si>
  <si>
    <t>Disbursements</t>
  </si>
  <si>
    <t>CreateAccessToken - Collections</t>
  </si>
  <si>
    <t>CreateAccessToken - Disbursements</t>
  </si>
  <si>
    <t>https://momodeveloper.mtn.com/docs/services/disbursement/operations/CreateAccessToken?</t>
  </si>
  <si>
    <t>Transfer - Post Txn</t>
  </si>
  <si>
    <t>https://momodeveloper.mtn.com/docs/services/disbursement/operations/Transfer?</t>
  </si>
  <si>
    <t>Transfer - Get Txn Status</t>
  </si>
  <si>
    <t>https://momodeveloper.mtn.com/docs/services/disbursement/operations/GetTransferStatus?</t>
  </si>
  <si>
    <t>https://momodeveloper.mtn.com/docs/services/collection/operations/ValidateAccountHolderStatus?</t>
  </si>
  <si>
    <t>ValidateAccountHolder</t>
  </si>
  <si>
    <t>https://momodeveloper.mtn.com/docs/services/disbursement/operations/ValidateAccountHolderStatus?</t>
  </si>
  <si>
    <t>https://momodeveloper.mtn.com/docs/services/collection/operations/GetAccountBalance?</t>
  </si>
  <si>
    <t>GetAccountBalance</t>
  </si>
  <si>
    <t>https://momodeveloper.mtn.com/docs/services/disbursement/operations/GetAccountBalance?</t>
  </si>
  <si>
    <t>https://momodeveloper.mtn.com/signup</t>
  </si>
  <si>
    <t>Signup</t>
  </si>
  <si>
    <t>https://momodeveloper.mtn.com/products</t>
  </si>
  <si>
    <t>Subscribe to Products</t>
  </si>
  <si>
    <t>View Subscription Keys</t>
  </si>
  <si>
    <t>https://momodeveloper.mtn.com/developer</t>
  </si>
  <si>
    <t>Date</t>
  </si>
  <si>
    <t>Category</t>
  </si>
  <si>
    <t>Question</t>
  </si>
  <si>
    <t>Getting Started</t>
  </si>
  <si>
    <t>What are the steps for onboarding on the MTN OpenAPI</t>
  </si>
  <si>
    <t>What are the Key APIs that I should interest myself in as I start the integration</t>
  </si>
  <si>
    <t>CallBacks</t>
  </si>
  <si>
    <t>How to set up the Provider Callback Host and Payment Server URL (Sandbox vs Production)</t>
  </si>
  <si>
    <t>Why is it that I am not receiving callbacks</t>
  </si>
  <si>
    <t>Going Live</t>
  </si>
  <si>
    <t>What are the steps for going live</t>
  </si>
  <si>
    <t>Can I go live as an individual or I must have a registered company</t>
  </si>
  <si>
    <t>If I am to go live in different countries, will I use the same API User and API Key</t>
  </si>
  <si>
    <t>Authorization</t>
  </si>
  <si>
    <t>User Provisioning not working in Production but working in sandbox(How to get API User and API Key in production)</t>
  </si>
  <si>
    <t>How do I get my IP Whitelisted for Disbursements</t>
  </si>
  <si>
    <t>Others</t>
  </si>
  <si>
    <t>Am I able to query for previous transactions via APIs</t>
  </si>
  <si>
    <t>Currencies to use in Production</t>
  </si>
  <si>
    <t>Understanding target Environments in Production (x-target-environment)</t>
  </si>
  <si>
    <t>What is the Get Transaction Status API, what is it used for and how different is it from Callbacks</t>
  </si>
  <si>
    <t>Understanding x-reference-id and what it's used for</t>
  </si>
  <si>
    <t>What are the Transaction charges on using the API</t>
  </si>
  <si>
    <t>Prompts not being sent to customer. Sent RequestToPay request and got 202 accepteed but no prompt sent, Sandbox Vs Production</t>
  </si>
  <si>
    <t>ProviderCallback: This is the host(domain/subdomain) to which callbacks will be sent
Sandbox Setup
This is setup on creating the ApiUser using user provisioning API, it's passed in the request body
Production Setup
This is setup on creating the ApiUser using the MTN Partner Portal, it's a field on the form
Values to set
Example callback url https://testingabc.com/receivemtncallbacks
ProviderCallBack Value = testingabc.com
PaymentServerURL Value = https://testingabc.com/</t>
  </si>
  <si>
    <t>Sandbox: Ensure that you are using http for your callback url as https is not supported</t>
  </si>
  <si>
    <t>Click the go live link https://momodeveloper.mtn.com/go-live and submit your application</t>
  </si>
  <si>
    <t>No, a registered company is registered is required</t>
  </si>
  <si>
    <t>No, you will have a different account and different API User and API Key for each country</t>
  </si>
  <si>
    <t>How to get Subscription Keys Sandbox vs Production</t>
  </si>
  <si>
    <t>Subscription keys are found under the user profile on the developer portal
Sandbox
Log onto the developer portal 
Go to products link and subscribe for products
Go to profile page to view subscription keys
Production
On production subscription keys are created by the MTN Team
Log onto the production developer portal
Go to profile page to view subscription keys</t>
  </si>
  <si>
    <t>In production API User and API Key are created via the MTN partner portal not via API</t>
  </si>
  <si>
    <t>Submit a signed Web Access Form document through your account manager</t>
  </si>
  <si>
    <t>No</t>
  </si>
  <si>
    <t>MTN Uganda= UGX
MTN Ghana= GHS
MTN Ivory Coast= XOF
MTN Zambia= ZMW
MTN Cameroon= XAF
MTN Benin= XOF
MTN Congo= XAF
MTN Swaziland= SZL
MTN GuineaConakry= GNF
MTN SouthAfrica= ZAR
MTN Liberia= LRD
MTN Nigeria= NGN</t>
  </si>
  <si>
    <t>MTN Uganda= mtnuganda
MTN Ghana= mtnghana
MTN Ivory Coast= mtnivorycoast
MTN Zambia= mtnzambia
MTN Cameroon= mtncameroon
MTN Benin= mtnbenin
MTN Congo= mtncongo
MTN Swaziland= mtnswaziland
MTN GuineaConakry= mtnguineaconakry
MTN SouthAfrica= mtnsouthafrica
MTN Liberia= mtnliberia</t>
  </si>
  <si>
    <t>The Get Transaction Status API is an api that used to query for the final status of a given request</t>
  </si>
  <si>
    <t>x-reference-id is UUID v4 string that uniquely identifies a transaction request.</t>
  </si>
  <si>
    <t>Charges are based on the contract between MTN and the partner</t>
  </si>
  <si>
    <t>There are no prompts on sandbox as sandbox testing does not involve real movement of funds</t>
  </si>
  <si>
    <t>1. Visit the MTN Developer on https://momodeveloper.mtn.com/
2. Go through the documentation on the portal
3. Signup and perform all necessary tests for you integration
4. Once familiar with usage of the API, click the go live link https://momodeveloper.mtn.com/go-live and submit your application
5. After submission of you application an account manager will be assigned to you and they will journey with you on your go live process</t>
  </si>
  <si>
    <t>Note</t>
  </si>
  <si>
    <t>Tester Name</t>
  </si>
  <si>
    <t>Generate an API Key</t>
  </si>
  <si>
    <t>API Key Provisioning</t>
  </si>
  <si>
    <t>https://momodeveloper.mtn.com/docs/services/sandbox-provisioning-api/operations/get-v1_0-apiuser?</t>
  </si>
  <si>
    <t>Generate API User</t>
  </si>
  <si>
    <t>Generate API Key</t>
  </si>
  <si>
    <t>https://momodeveloper.mtn.com/docs/services/sandbox-provisioning-api/operations/post-v1_0-apiuser-apikey?</t>
  </si>
  <si>
    <t>TC02-17</t>
  </si>
  <si>
    <t>To test successful request sent over https protocol</t>
  </si>
  <si>
    <t>Test transaction over https protocol</t>
  </si>
  <si>
    <t>Test transaction over http protocol</t>
  </si>
  <si>
    <t>To test request sent over http protocol</t>
  </si>
  <si>
    <t>TC02-18</t>
  </si>
  <si>
    <t>General</t>
  </si>
  <si>
    <r>
      <t xml:space="preserve">Follow </t>
    </r>
    <r>
      <rPr>
        <i/>
        <sz val="9"/>
        <color theme="5"/>
        <rFont val="Calibri"/>
        <family val="2"/>
        <scheme val="minor"/>
      </rPr>
      <t>https://momodeveloper.mtn.com</t>
    </r>
    <r>
      <rPr>
        <sz val="9"/>
        <color theme="1"/>
        <rFont val="Calibri"/>
        <family val="2"/>
        <scheme val="minor"/>
      </rPr>
      <t xml:space="preserve"> link and fill in the required Info</t>
    </r>
  </si>
  <si>
    <r>
      <t>Invalid Subscription key</t>
    </r>
    <r>
      <rPr>
        <sz val="9"/>
        <color theme="1"/>
        <rFont val="Calibri"/>
        <family val="2"/>
        <scheme val="minor"/>
      </rPr>
      <t xml:space="preserve">
Generate OAUTH Token using Sanbox OAUTH API using base64 Encoded APIUserkey:APIsecret. Use Invalid Subscription Key</t>
    </r>
  </si>
  <si>
    <r>
      <t>Invalid API User Key</t>
    </r>
    <r>
      <rPr>
        <sz val="9"/>
        <color theme="1"/>
        <rFont val="Calibri"/>
        <family val="2"/>
        <scheme val="minor"/>
      </rPr>
      <t xml:space="preserve">
Generate OAUTH Token using Sanbox OAUTH API using Invalid base64 Encoded APIUserkey:APIsecret. Use a valid Subscription Key</t>
    </r>
  </si>
  <si>
    <r>
      <rPr>
        <b/>
        <sz val="9"/>
        <color theme="1"/>
        <rFont val="Calibri"/>
        <family val="2"/>
        <scheme val="minor"/>
      </rPr>
      <t>Valid Subscription Key &amp; API Key</t>
    </r>
    <r>
      <rPr>
        <sz val="9"/>
        <color theme="1"/>
        <rFont val="Calibri"/>
        <family val="2"/>
        <scheme val="minor"/>
      </rPr>
      <t xml:space="preserve">
Generate OAUTH Token using Sanbox OAUTH API using base64 Encoded APIUserkey:APIsecret. Use a valid Subscription Key</t>
    </r>
  </si>
  <si>
    <r>
      <rPr>
        <b/>
        <sz val="9"/>
        <color theme="1"/>
        <rFont val="Calibri"/>
        <family val="2"/>
        <scheme val="minor"/>
      </rPr>
      <t>Invalid Subscription key</t>
    </r>
    <r>
      <rPr>
        <sz val="9"/>
        <color theme="1"/>
        <rFont val="Calibri"/>
        <family val="2"/>
        <scheme val="minor"/>
      </rPr>
      <t xml:space="preserve">
Generate OAUTH Token using Sanbox OAUTH API using base64 Encoded APIUserkey:APIsecret. Use Invalid Subscription Key</t>
    </r>
  </si>
  <si>
    <r>
      <rPr>
        <b/>
        <sz val="9"/>
        <color theme="1"/>
        <rFont val="Calibri"/>
        <family val="2"/>
        <scheme val="minor"/>
      </rPr>
      <t>Invalid API User Key</t>
    </r>
    <r>
      <rPr>
        <sz val="9"/>
        <color theme="1"/>
        <rFont val="Calibri"/>
        <family val="2"/>
        <scheme val="minor"/>
      </rPr>
      <t xml:space="preserve">
Generate OAUTH Token using Sanbox OAUTH API using Invalid base64 Encoded APIUserkey:APIsecret. Use a valid Subscription Key</t>
    </r>
  </si>
  <si>
    <r>
      <rPr>
        <b/>
        <sz val="9"/>
        <color theme="1"/>
        <rFont val="Calibri"/>
        <family val="2"/>
        <scheme val="minor"/>
      </rPr>
      <t>Generate Second Token</t>
    </r>
    <r>
      <rPr>
        <sz val="9"/>
        <color theme="1"/>
        <rFont val="Calibri"/>
        <family val="2"/>
        <scheme val="minor"/>
      </rPr>
      <t xml:space="preserve">
Test if generation of a second Token before the First Token Expiry</t>
    </r>
  </si>
  <si>
    <r>
      <t xml:space="preserve">There are two main API products that carter for most use cases
1. </t>
    </r>
    <r>
      <rPr>
        <b/>
        <sz val="10"/>
        <color theme="1"/>
        <rFont val="Calibri"/>
        <family val="2"/>
        <scheme val="minor"/>
      </rPr>
      <t>Collections APIs</t>
    </r>
    <r>
      <rPr>
        <sz val="10"/>
        <color theme="1"/>
        <rFont val="Calibri"/>
        <family val="2"/>
        <scheme val="minor"/>
      </rPr>
      <t xml:space="preserve">: These are used to request for a payment from a customer(Payer)
</t>
    </r>
    <r>
      <rPr>
        <i/>
        <sz val="10"/>
        <color theme="1"/>
        <rFont val="Calibri"/>
        <family val="2"/>
        <scheme val="minor"/>
      </rPr>
      <t>ApiFlow</t>
    </r>
    <r>
      <rPr>
        <sz val="10"/>
        <color theme="1"/>
        <rFont val="Calibri"/>
        <family val="2"/>
        <scheme val="minor"/>
      </rPr>
      <t xml:space="preserve">
Step1: Create Access Token: https://momodeveloper.mtn.com/docs/services/collection/operations/CreateAccessToken? 
Step2: Send Request to Pay: https://momodeveloper.mtn.com/docs/services/collection/operations/RequesttoPay?
Step3: Get Transaction Status: https://momodeveloper.mtn.com/docs/services/collection/operations/RequesttoPayTransactionStatus?
2. </t>
    </r>
    <r>
      <rPr>
        <b/>
        <sz val="10"/>
        <color theme="1"/>
        <rFont val="Calibri"/>
        <family val="2"/>
        <scheme val="minor"/>
      </rPr>
      <t>Disbursement APIs</t>
    </r>
    <r>
      <rPr>
        <sz val="10"/>
        <color theme="1"/>
        <rFont val="Calibri"/>
        <family val="2"/>
        <scheme val="minor"/>
      </rPr>
      <t xml:space="preserve">: These are used to transfer an amount from your own account to a payee account.
</t>
    </r>
    <r>
      <rPr>
        <i/>
        <sz val="10"/>
        <color theme="1"/>
        <rFont val="Calibri"/>
        <family val="2"/>
        <scheme val="minor"/>
      </rPr>
      <t>ApiFlow</t>
    </r>
    <r>
      <rPr>
        <sz val="10"/>
        <color theme="1"/>
        <rFont val="Calibri"/>
        <family val="2"/>
        <scheme val="minor"/>
      </rPr>
      <t xml:space="preserve">
Step1: Create Access Token: https://momodeveloper.mtn.com/docs/services/disbursement/operations/CreateAccessToken?
Step2: Send Transfer Request: https://momodeveloper.mtn.com/docs/services/disbursement/operations/Transfer?
Step3: Get Transaction Status: https://momodeveloper.mtn.com/docs/services/disbursement/operations/GetTransferStatus?</t>
    </r>
  </si>
  <si>
    <t>Generate Bearer Token using Invalid API Key</t>
  </si>
  <si>
    <r>
      <t xml:space="preserve">Valid Subscription Key &amp; API Key
</t>
    </r>
    <r>
      <rPr>
        <sz val="9"/>
        <color theme="1"/>
        <rFont val="Calibri"/>
        <family val="2"/>
        <scheme val="minor"/>
      </rPr>
      <t>Generate OAUTH Token using Sanbox OAUTH API using base64 Encoded APIUserkey:APIsecret. Use a valid Subscription Key</t>
    </r>
  </si>
  <si>
    <r>
      <t xml:space="preserve">Generate Second Token
</t>
    </r>
    <r>
      <rPr>
        <sz val="9"/>
        <color theme="1"/>
        <rFont val="Calibri"/>
        <family val="2"/>
        <scheme val="minor"/>
      </rPr>
      <t>Test if generation of a second Token before the First Token Expiry</t>
    </r>
  </si>
  <si>
    <t xml:space="preserve"> </t>
  </si>
  <si>
    <t>MTN OPEN  API Integration Test - Disbursements</t>
  </si>
  <si>
    <t>MTN OPEN  API Integration Test - Collections</t>
  </si>
  <si>
    <t>Use Invalid Subscription key</t>
  </si>
  <si>
    <t>ACTIVE</t>
  </si>
  <si>
    <t>MTN OPEN  API Integration Test - Balance</t>
  </si>
  <si>
    <t>MTN OPEN  API Integration Test - ValidateAccount</t>
  </si>
  <si>
    <t>Signature</t>
  </si>
  <si>
    <t>Company Name</t>
  </si>
  <si>
    <t>Email used for Signup on Portal</t>
  </si>
  <si>
    <t xml:space="preserve">NB: 1. "Actual Results" fill with response HTTP Status Code and Description, Response Body etc. e.g 202 Accepted
        2. Please don't forget to share email used to signup on Developer Portal
        3. The sheet "Signup &amp; Provision API User" must be signed off and signed copy shared along with excel file
</t>
  </si>
  <si>
    <t>User is assigned a subscription 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</si>
</sst>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charset val="134"/>
      <scheme val="minor"/>
    </font>
    <font>
      <b/>
      <sz val="11"/>
      <color theme="1"/>
      <name val="Calibri"/>
      <family val="2"/>
      <scheme val="minor"/>
    </font>
    <font>
      <u/>
      <sz val="11"/>
      <color theme="10"/>
      <name val="Calibri"/>
      <family val="2"/>
      <scheme val="minor"/>
    </font>
    <font>
      <sz val="10"/>
      <color theme="1"/>
      <name val="Calibri"/>
      <family val="2"/>
      <scheme val="minor"/>
    </font>
    <font>
      <sz val="9"/>
      <color theme="1"/>
      <name val="Calibri"/>
      <family val="2"/>
      <scheme val="minor"/>
    </font>
    <font>
      <b/>
      <sz val="10"/>
      <color theme="1"/>
      <name val="Calibri"/>
      <family val="2"/>
      <scheme val="minor"/>
    </font>
    <font>
      <u/>
      <sz val="10"/>
      <color theme="10"/>
      <name val="Calibri"/>
      <family val="2"/>
      <scheme val="minor"/>
    </font>
    <font>
      <b/>
      <sz val="9"/>
      <color theme="1"/>
      <name val="Calibri"/>
      <family val="2"/>
      <scheme val="minor"/>
    </font>
    <font>
      <b/>
      <sz val="9"/>
      <color rgb="FFFF0000"/>
      <name val="Calibri"/>
      <family val="2"/>
      <scheme val="minor"/>
    </font>
    <font>
      <i/>
      <sz val="9"/>
      <color theme="5"/>
      <name val="Calibri"/>
      <family val="2"/>
      <scheme val="minor"/>
    </font>
    <font>
      <u/>
      <sz val="9"/>
      <color theme="10"/>
      <name val="Calibri"/>
      <family val="2"/>
      <scheme val="minor"/>
    </font>
    <font>
      <i/>
      <sz val="10"/>
      <color theme="1"/>
      <name val="Calibri"/>
      <family val="2"/>
      <scheme val="minor"/>
    </font>
    <font>
      <b/>
      <sz val="10"/>
      <color theme="0"/>
      <name val="Calibri"/>
      <family val="2"/>
      <scheme val="minor"/>
    </font>
    <font>
      <sz val="9"/>
      <color theme="10"/>
      <name val="Calibri"/>
      <family val="2"/>
      <scheme val="minor"/>
    </font>
  </fonts>
  <fills count="6">
    <fill>
      <patternFill patternType="none"/>
    </fill>
    <fill>
      <patternFill patternType="gray125"/>
    </fill>
    <fill>
      <patternFill patternType="solid">
        <fgColor theme="6" tint="0.39994506668294322"/>
        <bgColor indexed="64"/>
      </patternFill>
    </fill>
    <fill>
      <patternFill patternType="solid">
        <fgColor rgb="FF92D050"/>
        <bgColor indexed="64"/>
      </patternFill>
    </fill>
    <fill>
      <patternFill patternType="solid">
        <fgColor rgb="FF002060"/>
        <bgColor indexed="64"/>
      </patternFill>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right style="thin">
        <color auto="1"/>
      </right>
      <top/>
      <bottom/>
      <diagonal/>
    </border>
    <border>
      <left/>
      <right/>
      <top/>
      <bottom style="thin">
        <color auto="1"/>
      </bottom>
      <diagonal/>
    </border>
  </borders>
  <cellStyleXfs count="2">
    <xf numFmtId="0" fontId="0" fillId="0" borderId="0"/>
    <xf numFmtId="0" fontId="2" fillId="0" borderId="0" applyNumberFormat="0" applyFill="0" applyBorder="0" applyAlignment="0" applyProtection="0"/>
  </cellStyleXfs>
  <cellXfs count="98">
    <xf numFmtId="0" fontId="0" fillId="0" borderId="0" xfId="0"/>
    <xf numFmtId="0" fontId="0" fillId="2" borderId="0" xfId="0" applyFill="1"/>
    <xf numFmtId="0" fontId="1" fillId="2" borderId="1" xfId="0" applyFont="1" applyFill="1" applyBorder="1" applyAlignment="1">
      <alignment wrapText="1"/>
    </xf>
    <xf numFmtId="0" fontId="0" fillId="0" borderId="0" xfId="0" applyAlignment="1">
      <alignment wrapText="1"/>
    </xf>
    <xf numFmtId="0" fontId="0" fillId="2" borderId="1" xfId="0" applyFill="1" applyBorder="1" applyAlignment="1">
      <alignment wrapText="1"/>
    </xf>
    <xf numFmtId="0" fontId="0" fillId="2" borderId="1" xfId="0" applyFill="1" applyBorder="1"/>
    <xf numFmtId="0" fontId="0" fillId="2" borderId="1" xfId="0" applyFill="1" applyBorder="1" applyAlignment="1">
      <alignment vertical="top"/>
    </xf>
    <xf numFmtId="0" fontId="3" fillId="0" borderId="0" xfId="0" applyFont="1"/>
    <xf numFmtId="0" fontId="3" fillId="0" borderId="1" xfId="0" applyFont="1" applyBorder="1" applyAlignment="1">
      <alignment vertical="top" wrapText="1"/>
    </xf>
    <xf numFmtId="0" fontId="4" fillId="2" borderId="0" xfId="0" applyFont="1" applyFill="1"/>
    <xf numFmtId="0" fontId="7" fillId="2" borderId="1" xfId="0" applyFont="1" applyFill="1" applyBorder="1" applyAlignment="1">
      <alignment wrapText="1"/>
    </xf>
    <xf numFmtId="0" fontId="4" fillId="0" borderId="0" xfId="0" applyFont="1"/>
    <xf numFmtId="0" fontId="4" fillId="0" borderId="0" xfId="0" applyFont="1" applyAlignment="1">
      <alignment wrapText="1"/>
    </xf>
    <xf numFmtId="0" fontId="8" fillId="0" borderId="0" xfId="0" applyFont="1"/>
    <xf numFmtId="0" fontId="4" fillId="3" borderId="1" xfId="0" applyFont="1" applyFill="1" applyBorder="1"/>
    <xf numFmtId="0" fontId="4" fillId="0" borderId="1" xfId="0" applyFont="1" applyBorder="1"/>
    <xf numFmtId="0" fontId="4" fillId="0" borderId="1" xfId="0" applyFont="1" applyBorder="1" applyAlignment="1">
      <alignment wrapText="1"/>
    </xf>
    <xf numFmtId="0" fontId="10" fillId="0" borderId="1" xfId="1" applyFont="1" applyBorder="1" applyAlignment="1">
      <alignment vertical="top" wrapText="1"/>
    </xf>
    <xf numFmtId="0" fontId="7" fillId="0" borderId="1" xfId="0" applyFont="1" applyBorder="1" applyAlignment="1">
      <alignment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0" fontId="4" fillId="2" borderId="1" xfId="0" applyFont="1" applyFill="1" applyBorder="1" applyAlignment="1">
      <alignment wrapText="1"/>
    </xf>
    <xf numFmtId="0" fontId="7" fillId="2" borderId="1" xfId="0" applyFont="1" applyFill="1" applyBorder="1"/>
    <xf numFmtId="0" fontId="5" fillId="0" borderId="4" xfId="0" applyFont="1" applyBorder="1" applyAlignment="1">
      <alignment vertical="top"/>
    </xf>
    <xf numFmtId="0" fontId="5" fillId="0" borderId="5" xfId="0" applyFont="1" applyBorder="1" applyAlignment="1">
      <alignment vertical="top" wrapText="1"/>
    </xf>
    <xf numFmtId="0" fontId="5" fillId="0" borderId="6" xfId="0" applyFont="1" applyBorder="1" applyAlignment="1">
      <alignment vertical="top" wrapText="1"/>
    </xf>
    <xf numFmtId="0" fontId="5" fillId="0" borderId="0" xfId="0" applyFont="1" applyAlignment="1">
      <alignment vertical="top"/>
    </xf>
    <xf numFmtId="0" fontId="5" fillId="0" borderId="3" xfId="0" applyFont="1" applyBorder="1" applyAlignment="1">
      <alignment vertical="top"/>
    </xf>
    <xf numFmtId="0" fontId="3" fillId="0" borderId="2" xfId="0" applyFont="1" applyBorder="1" applyAlignment="1">
      <alignment vertical="top" wrapText="1"/>
    </xf>
    <xf numFmtId="0" fontId="3" fillId="0" borderId="0" xfId="0" applyFont="1" applyAlignment="1">
      <alignment vertical="top"/>
    </xf>
    <xf numFmtId="0" fontId="5" fillId="0" borderId="7" xfId="0" applyFont="1" applyBorder="1" applyAlignment="1">
      <alignment vertical="top"/>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0" xfId="0" applyFont="1" applyAlignment="1">
      <alignment vertical="top" wrapText="1"/>
    </xf>
    <xf numFmtId="0" fontId="12" fillId="4" borderId="0" xfId="0" applyFont="1" applyFill="1"/>
    <xf numFmtId="0" fontId="6" fillId="0" borderId="0" xfId="1" applyFont="1"/>
    <xf numFmtId="0" fontId="12" fillId="4" borderId="1" xfId="0" applyFont="1" applyFill="1" applyBorder="1"/>
    <xf numFmtId="0" fontId="3" fillId="0" borderId="1" xfId="0" applyFont="1" applyBorder="1"/>
    <xf numFmtId="0" fontId="6" fillId="0" borderId="1" xfId="1" applyFont="1" applyBorder="1"/>
    <xf numFmtId="0" fontId="7" fillId="3" borderId="1" xfId="0" applyFont="1" applyFill="1" applyBorder="1" applyAlignment="1">
      <alignment horizontal="left" wrapText="1"/>
    </xf>
    <xf numFmtId="0" fontId="7" fillId="3" borderId="1" xfId="0" applyFont="1" applyFill="1" applyBorder="1" applyAlignment="1">
      <alignment horizontal="left" vertical="center"/>
    </xf>
    <xf numFmtId="0" fontId="0" fillId="2" borderId="0" xfId="0" applyFill="1" applyAlignment="1">
      <alignment horizontal="left" indent="1"/>
    </xf>
    <xf numFmtId="0" fontId="0" fillId="0" borderId="0" xfId="0" applyAlignment="1">
      <alignment horizontal="left" indent="1"/>
    </xf>
    <xf numFmtId="0" fontId="4" fillId="2" borderId="1" xfId="0" applyFont="1" applyFill="1" applyBorder="1" applyAlignment="1">
      <alignment horizontal="left" wrapText="1" indent="1"/>
    </xf>
    <xf numFmtId="0" fontId="7" fillId="0" borderId="7" xfId="0" applyFont="1" applyBorder="1" applyAlignment="1">
      <alignment horizontal="left" indent="1"/>
    </xf>
    <xf numFmtId="0" fontId="4" fillId="0" borderId="11" xfId="0" applyFont="1" applyBorder="1" applyAlignment="1">
      <alignment horizontal="left" indent="1"/>
    </xf>
    <xf numFmtId="0" fontId="0" fillId="2" borderId="1" xfId="0" applyFill="1" applyBorder="1" applyAlignment="1">
      <alignment horizontal="left" indent="1"/>
    </xf>
    <xf numFmtId="0" fontId="7" fillId="0" borderId="11" xfId="0" applyFont="1" applyBorder="1" applyAlignment="1">
      <alignment horizontal="left" indent="1"/>
    </xf>
    <xf numFmtId="0" fontId="10" fillId="0" borderId="5" xfId="1" applyFont="1" applyBorder="1" applyAlignment="1">
      <alignment vertical="top" wrapText="1"/>
    </xf>
    <xf numFmtId="0" fontId="4" fillId="0" borderId="10" xfId="0" applyFont="1" applyBorder="1"/>
    <xf numFmtId="0" fontId="10" fillId="0" borderId="10" xfId="1" applyFont="1" applyBorder="1" applyAlignment="1">
      <alignment vertical="top" wrapText="1"/>
    </xf>
    <xf numFmtId="0" fontId="7" fillId="0" borderId="8" xfId="0" applyFont="1" applyBorder="1"/>
    <xf numFmtId="0" fontId="4" fillId="0" borderId="10" xfId="0" applyFont="1" applyBorder="1" applyAlignment="1">
      <alignment wrapText="1"/>
    </xf>
    <xf numFmtId="0" fontId="13" fillId="0" borderId="10" xfId="1" applyFont="1" applyBorder="1" applyAlignment="1">
      <alignment vertical="top" wrapText="1"/>
    </xf>
    <xf numFmtId="0" fontId="13" fillId="0" borderId="5" xfId="1" applyFont="1" applyBorder="1" applyAlignment="1">
      <alignment vertical="top" wrapText="1"/>
    </xf>
    <xf numFmtId="0" fontId="10" fillId="0" borderId="11" xfId="1" applyFont="1" applyBorder="1" applyAlignment="1">
      <alignment horizontal="left" vertical="top" wrapText="1" indent="1"/>
    </xf>
    <xf numFmtId="0" fontId="7" fillId="2" borderId="0" xfId="0" applyFont="1" applyFill="1" applyAlignment="1">
      <alignment wrapText="1"/>
    </xf>
    <xf numFmtId="0" fontId="1" fillId="2" borderId="0" xfId="0" applyFont="1" applyFill="1" applyAlignment="1">
      <alignment wrapText="1"/>
    </xf>
    <xf numFmtId="0" fontId="7" fillId="0" borderId="0" xfId="0" applyFont="1" applyAlignment="1">
      <alignment wrapText="1"/>
    </xf>
    <xf numFmtId="0" fontId="7" fillId="0" borderId="12" xfId="0" applyFont="1" applyBorder="1" applyAlignment="1">
      <alignment wrapText="1"/>
    </xf>
    <xf numFmtId="0" fontId="7" fillId="2" borderId="0" xfId="0" applyFont="1" applyFill="1" applyAlignment="1">
      <alignment horizontal="center"/>
    </xf>
    <xf numFmtId="0" fontId="7" fillId="3" borderId="1" xfId="0" applyFont="1" applyFill="1" applyBorder="1" applyAlignment="1">
      <alignment horizontal="left" wrapText="1"/>
    </xf>
    <xf numFmtId="0" fontId="2" fillId="5" borderId="1" xfId="1" applyFill="1" applyBorder="1"/>
    <xf numFmtId="0" fontId="4" fillId="5" borderId="1" xfId="0" applyFont="1" applyFill="1" applyBorder="1"/>
    <xf numFmtId="0" fontId="4" fillId="0" borderId="1" xfId="0" applyFont="1" applyBorder="1"/>
    <xf numFmtId="14" fontId="4" fillId="0" borderId="1" xfId="0" applyNumberFormat="1" applyFont="1" applyBorder="1" applyAlignment="1">
      <alignment horizontal="left"/>
    </xf>
    <xf numFmtId="0" fontId="4" fillId="0" borderId="1" xfId="0" applyFont="1" applyBorder="1" applyAlignment="1">
      <alignment horizontal="left"/>
    </xf>
    <xf numFmtId="0" fontId="8" fillId="0" borderId="1" xfId="0" applyFont="1" applyBorder="1"/>
    <xf numFmtId="0" fontId="8" fillId="5" borderId="1" xfId="0" applyFont="1" applyFill="1" applyBorder="1"/>
    <xf numFmtId="0" fontId="4" fillId="0" borderId="7" xfId="0" applyFont="1" applyBorder="1" applyAlignment="1">
      <alignment horizontal="center" vertical="top" wrapText="1"/>
    </xf>
    <xf numFmtId="0" fontId="4" fillId="0" borderId="11" xfId="0" applyFont="1" applyBorder="1" applyAlignment="1">
      <alignment horizontal="center" vertical="top" wrapText="1"/>
    </xf>
    <xf numFmtId="0" fontId="4" fillId="0" borderId="4" xfId="0" applyFont="1" applyBorder="1" applyAlignment="1">
      <alignment horizontal="center" vertical="top" wrapText="1"/>
    </xf>
    <xf numFmtId="0" fontId="4" fillId="0" borderId="8" xfId="0" applyFont="1" applyBorder="1" applyAlignment="1">
      <alignment horizontal="center" vertical="top" wrapText="1"/>
    </xf>
    <xf numFmtId="0" fontId="4" fillId="0" borderId="10" xfId="0" applyFont="1" applyBorder="1" applyAlignment="1">
      <alignment horizontal="center" vertical="top" wrapText="1"/>
    </xf>
    <xf numFmtId="0" fontId="4" fillId="0" borderId="5" xfId="0" applyFont="1" applyBorder="1" applyAlignment="1">
      <alignment horizontal="center" vertical="top" wrapText="1"/>
    </xf>
    <xf numFmtId="0" fontId="4" fillId="0" borderId="8" xfId="0" applyFont="1" applyBorder="1" applyAlignment="1">
      <alignment horizontal="center" wrapText="1"/>
    </xf>
    <xf numFmtId="0" fontId="4" fillId="0" borderId="10" xfId="0" applyFont="1" applyBorder="1" applyAlignment="1">
      <alignment horizontal="center" wrapText="1"/>
    </xf>
    <xf numFmtId="0" fontId="4" fillId="0" borderId="5" xfId="0" applyFont="1" applyBorder="1" applyAlignment="1">
      <alignment horizontal="center" wrapText="1"/>
    </xf>
    <xf numFmtId="0" fontId="4" fillId="0" borderId="8" xfId="0" applyFont="1" applyBorder="1" applyAlignment="1">
      <alignment horizontal="center"/>
    </xf>
    <xf numFmtId="0" fontId="4" fillId="0" borderId="10" xfId="0" applyFont="1" applyBorder="1" applyAlignment="1">
      <alignment horizontal="center"/>
    </xf>
    <xf numFmtId="0" fontId="4" fillId="0" borderId="5" xfId="0" applyFont="1" applyBorder="1" applyAlignment="1">
      <alignment horizontal="center"/>
    </xf>
    <xf numFmtId="0" fontId="7" fillId="3" borderId="8" xfId="0" applyFont="1" applyFill="1" applyBorder="1" applyAlignment="1">
      <alignment horizontal="left" wrapText="1"/>
    </xf>
    <xf numFmtId="0" fontId="7" fillId="3" borderId="1" xfId="0" applyFont="1" applyFill="1" applyBorder="1" applyAlignment="1">
      <alignment horizontal="left" vertical="center"/>
    </xf>
    <xf numFmtId="0" fontId="7" fillId="0" borderId="8" xfId="0" applyFont="1" applyBorder="1" applyAlignment="1">
      <alignment horizontal="center" vertical="top" wrapText="1"/>
    </xf>
    <xf numFmtId="0" fontId="7" fillId="0" borderId="10" xfId="0" applyFont="1" applyBorder="1" applyAlignment="1">
      <alignment horizontal="center" vertical="top" wrapText="1"/>
    </xf>
    <xf numFmtId="0" fontId="7" fillId="0" borderId="5" xfId="0" applyFont="1" applyBorder="1" applyAlignment="1">
      <alignment horizontal="center" vertical="top" wrapText="1"/>
    </xf>
    <xf numFmtId="0" fontId="4" fillId="0" borderId="8" xfId="0" applyFont="1" applyBorder="1" applyAlignment="1">
      <alignment horizontal="left" vertical="top" wrapText="1"/>
    </xf>
    <xf numFmtId="0" fontId="4" fillId="0" borderId="10" xfId="0" applyFont="1" applyBorder="1" applyAlignment="1">
      <alignment horizontal="left" vertical="top" wrapText="1"/>
    </xf>
    <xf numFmtId="0" fontId="4" fillId="0" borderId="5" xfId="0" applyFont="1" applyBorder="1" applyAlignment="1">
      <alignment horizontal="left" vertical="top" wrapText="1"/>
    </xf>
    <xf numFmtId="0" fontId="4" fillId="0" borderId="8" xfId="0" applyFont="1" applyBorder="1" applyAlignment="1">
      <alignment vertical="top" wrapText="1"/>
    </xf>
    <xf numFmtId="0" fontId="4" fillId="0" borderId="10" xfId="0" applyFont="1" applyBorder="1" applyAlignment="1">
      <alignment vertical="top" wrapText="1"/>
    </xf>
    <xf numFmtId="0" fontId="4" fillId="0" borderId="5" xfId="0" applyFont="1" applyBorder="1" applyAlignment="1">
      <alignment vertical="top" wrapText="1"/>
    </xf>
    <xf numFmtId="0" fontId="4" fillId="0" borderId="8" xfId="0" applyFont="1" applyBorder="1" applyAlignment="1">
      <alignment wrapText="1"/>
    </xf>
    <xf numFmtId="0" fontId="4" fillId="0" borderId="10" xfId="0" applyFont="1" applyBorder="1" applyAlignment="1">
      <alignment wrapText="1"/>
    </xf>
    <xf numFmtId="0" fontId="4" fillId="0" borderId="5" xfId="0" applyFont="1" applyBorder="1" applyAlignment="1">
      <alignment wrapText="1"/>
    </xf>
    <xf numFmtId="0" fontId="4" fillId="0" borderId="8" xfId="0" applyFont="1" applyBorder="1"/>
    <xf numFmtId="0" fontId="4" fillId="0" borderId="10" xfId="0" applyFont="1" applyBorder="1"/>
    <xf numFmtId="0" fontId="4" fillId="0" borderId="5" xfId="0" applyFont="1" applyBorder="1"/>
  </cellXfs>
  <cellStyles count="2">
    <cellStyle name="Hyperlink" xfId="1" builtinId="8"/>
    <cellStyle name="Normal" xfId="0" builtinId="0"/>
  </cellStyles>
  <dxfs count="8">
    <dxf>
      <font>
        <strike val="0"/>
        <outline val="0"/>
        <shadow val="0"/>
        <u val="none"/>
        <vertAlign val="baseline"/>
        <sz val="10"/>
        <color theme="1"/>
        <name val="Calibri"/>
        <family val="2"/>
        <scheme val="minor"/>
      </font>
      <alignment horizontal="general" vertical="top"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0"/>
        <color theme="1"/>
        <name val="Calibri"/>
        <family val="2"/>
        <scheme val="minor"/>
      </font>
      <alignment horizontal="general" vertical="top"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0"/>
        <color theme="1"/>
        <name val="Calibri"/>
        <family val="2"/>
        <scheme val="minor"/>
      </font>
    </dxf>
    <dxf>
      <border outline="0">
        <bottom style="thin">
          <color auto="1"/>
        </bottom>
      </border>
    </dxf>
    <dxf>
      <font>
        <strike val="0"/>
        <outline val="0"/>
        <shadow val="0"/>
        <u val="none"/>
        <vertAlign val="baseline"/>
        <sz val="10"/>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67792A-F2E9-43B3-A0B0-0A71063A0510}" name="Table2" displayName="Table2" ref="A1:C22" totalsRowShown="0" headerRowDxfId="7" dataDxfId="5" headerRowBorderDxfId="6" tableBorderDxfId="4" totalsRowBorderDxfId="3">
  <autoFilter ref="A1:C22" xr:uid="{E367792A-F2E9-43B3-A0B0-0A71063A0510}"/>
  <tableColumns count="3">
    <tableColumn id="1" xr3:uid="{EE169C46-0ECC-410E-B79D-771CE2A944E2}" name="Category" dataDxfId="2"/>
    <tableColumn id="2" xr3:uid="{95A6D973-A031-4AA7-A47B-DD36839367A7}" name="Question" dataDxfId="1"/>
    <tableColumn id="3" xr3:uid="{E65C0712-CB30-43B5-9878-F59CEE3790CB}" name="Note" dataDxfId="0"/>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momodeveloper.mtn.com/docs/services/collection/operations/RequesttoPay?" TargetMode="External"/><Relationship Id="rId2" Type="http://schemas.openxmlformats.org/officeDocument/2006/relationships/hyperlink" Target="https://momodeveloper.mtn.com/docs/services/collection/operations/RequesttoPayTransactionStatus?" TargetMode="External"/><Relationship Id="rId1" Type="http://schemas.openxmlformats.org/officeDocument/2006/relationships/hyperlink" Target="https://momodeveloper.mtn.com/docs/services/collection/operations/ValidateAccountHolderStatus?" TargetMode="External"/><Relationship Id="rId6" Type="http://schemas.openxmlformats.org/officeDocument/2006/relationships/printerSettings" Target="../printerSettings/printerSettings7.bin"/><Relationship Id="rId5" Type="http://schemas.openxmlformats.org/officeDocument/2006/relationships/hyperlink" Target="https://momodeveloper.mtn.com/docs/services/collection/operations/GetAccountBalance?" TargetMode="External"/><Relationship Id="rId4" Type="http://schemas.openxmlformats.org/officeDocument/2006/relationships/hyperlink" Target="https://momodeveloper.mtn.com/docs/services/collection/operations/CreateAccessToken?"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momodeveloper.mtn.com/docs/services/disbursement/operations/GetTransferStatus?" TargetMode="External"/><Relationship Id="rId2" Type="http://schemas.openxmlformats.org/officeDocument/2006/relationships/hyperlink" Target="https://momodeveloper.mtn.com/docs/services/disbursement/operations/Transfer?" TargetMode="External"/><Relationship Id="rId1" Type="http://schemas.openxmlformats.org/officeDocument/2006/relationships/hyperlink" Target="https://momodeveloper.mtn.com/docs/services/disbursement/operations/CreateAccessToken?" TargetMode="External"/><Relationship Id="rId6" Type="http://schemas.openxmlformats.org/officeDocument/2006/relationships/printerSettings" Target="../printerSettings/printerSettings8.bin"/><Relationship Id="rId5" Type="http://schemas.openxmlformats.org/officeDocument/2006/relationships/hyperlink" Target="https://momodeveloper.mtn.com/docs/services/disbursement/operations/GetAccountBalance?" TargetMode="External"/><Relationship Id="rId4" Type="http://schemas.openxmlformats.org/officeDocument/2006/relationships/hyperlink" Target="https://momodeveloper.mtn.com/docs/services/disbursement/operations/ValidateAccountHolderStatus?"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momodeveloper.mtn.com/developer" TargetMode="External"/><Relationship Id="rId2" Type="http://schemas.openxmlformats.org/officeDocument/2006/relationships/hyperlink" Target="https://momodeveloper.mtn.com/products" TargetMode="External"/><Relationship Id="rId1" Type="http://schemas.openxmlformats.org/officeDocument/2006/relationships/hyperlink" Target="https://momodeveloper.mtn.com/signup" TargetMode="External"/><Relationship Id="rId6" Type="http://schemas.openxmlformats.org/officeDocument/2006/relationships/printerSettings" Target="../printerSettings/printerSettings9.bin"/><Relationship Id="rId5" Type="http://schemas.openxmlformats.org/officeDocument/2006/relationships/hyperlink" Target="https://momodeveloper.mtn.com/docs/services/sandbox-provisioning-api/operations/post-v1_0-apiuser-apikey?" TargetMode="External"/><Relationship Id="rId4" Type="http://schemas.openxmlformats.org/officeDocument/2006/relationships/hyperlink" Target="https://momodeveloper.mtn.com/docs/services/sandbox-provisioning-api/operations/get-v1_0-apius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5"/>
  <sheetViews>
    <sheetView tabSelected="1" workbookViewId="0">
      <selection activeCell="H4" sqref="H4"/>
    </sheetView>
  </sheetViews>
  <sheetFormatPr defaultColWidth="9" defaultRowHeight="14.4"/>
  <cols>
    <col min="1" max="1" width="7.109375" customWidth="1"/>
    <col min="2" max="2" width="17.5546875" customWidth="1"/>
    <col min="3" max="3" width="4.77734375" customWidth="1"/>
    <col min="4" max="4" width="25.21875" customWidth="1"/>
    <col min="5" max="5" width="25.5546875" customWidth="1"/>
    <col min="6" max="6" width="12.109375" customWidth="1"/>
    <col min="7" max="7" width="19.88671875" customWidth="1"/>
    <col min="8" max="8" width="41.109375" customWidth="1"/>
  </cols>
  <sheetData>
    <row r="1" spans="1:9">
      <c r="A1" s="9"/>
      <c r="B1" s="60" t="s">
        <v>0</v>
      </c>
      <c r="C1" s="60"/>
      <c r="D1" s="60"/>
      <c r="E1" s="60"/>
      <c r="F1" s="60"/>
      <c r="G1" s="60"/>
      <c r="H1" s="9"/>
      <c r="I1" s="56"/>
    </row>
    <row r="2" spans="1:9">
      <c r="A2" s="11"/>
      <c r="B2" s="11"/>
      <c r="C2" s="11"/>
      <c r="D2" s="12"/>
      <c r="E2" s="12"/>
      <c r="F2" s="12"/>
      <c r="G2" s="12"/>
      <c r="H2" s="11"/>
      <c r="I2" s="11"/>
    </row>
    <row r="3" spans="1:9">
      <c r="A3" s="67" t="s">
        <v>189</v>
      </c>
      <c r="B3" s="67"/>
      <c r="C3" s="64"/>
      <c r="D3" s="64"/>
      <c r="E3" s="64"/>
      <c r="F3" s="11"/>
      <c r="G3" s="12"/>
      <c r="H3" s="11"/>
      <c r="I3" s="11"/>
    </row>
    <row r="4" spans="1:9">
      <c r="A4" s="67" t="s">
        <v>156</v>
      </c>
      <c r="B4" s="67"/>
      <c r="C4" s="64"/>
      <c r="D4" s="64"/>
      <c r="E4" s="64"/>
      <c r="F4" s="11"/>
      <c r="G4" s="12"/>
      <c r="H4" s="11"/>
      <c r="I4" s="11"/>
    </row>
    <row r="5" spans="1:9">
      <c r="A5" s="68" t="s">
        <v>190</v>
      </c>
      <c r="B5" s="68"/>
      <c r="C5" s="62"/>
      <c r="D5" s="63"/>
      <c r="E5" s="63"/>
      <c r="F5" s="58" t="s">
        <v>191</v>
      </c>
      <c r="G5" s="58"/>
      <c r="H5" s="58"/>
      <c r="I5" s="58"/>
    </row>
    <row r="6" spans="1:9">
      <c r="A6" s="67" t="s">
        <v>114</v>
      </c>
      <c r="B6" s="67"/>
      <c r="C6" s="65"/>
      <c r="D6" s="66"/>
      <c r="E6" s="66"/>
      <c r="F6" s="58"/>
      <c r="G6" s="58"/>
      <c r="H6" s="58"/>
      <c r="I6" s="58"/>
    </row>
    <row r="7" spans="1:9" ht="14.55" customHeight="1">
      <c r="A7" s="67" t="s">
        <v>188</v>
      </c>
      <c r="B7" s="67"/>
      <c r="C7" s="64"/>
      <c r="D7" s="64"/>
      <c r="E7" s="64"/>
      <c r="F7" s="58"/>
      <c r="G7" s="58"/>
      <c r="H7" s="58"/>
      <c r="I7" s="58"/>
    </row>
    <row r="8" spans="1:9">
      <c r="A8" s="11"/>
      <c r="B8" s="13"/>
      <c r="C8" s="11"/>
      <c r="D8" s="11"/>
      <c r="E8" s="11"/>
      <c r="F8" s="59"/>
      <c r="G8" s="59"/>
      <c r="H8" s="59"/>
      <c r="I8" s="59"/>
    </row>
    <row r="9" spans="1:9">
      <c r="A9" s="21" t="s">
        <v>1</v>
      </c>
      <c r="B9" s="21"/>
      <c r="C9" s="21"/>
      <c r="D9" s="10" t="s">
        <v>2</v>
      </c>
      <c r="E9" s="10" t="s">
        <v>3</v>
      </c>
      <c r="F9" s="10" t="s">
        <v>86</v>
      </c>
      <c r="G9" s="10" t="s">
        <v>4</v>
      </c>
      <c r="H9" s="22" t="s">
        <v>5</v>
      </c>
      <c r="I9" s="10" t="s">
        <v>6</v>
      </c>
    </row>
    <row r="10" spans="1:9">
      <c r="A10" s="61" t="s">
        <v>7</v>
      </c>
      <c r="B10" s="61"/>
      <c r="C10" s="61"/>
      <c r="D10" s="61"/>
      <c r="E10" s="61"/>
      <c r="F10" s="61"/>
      <c r="G10" s="61"/>
      <c r="H10" s="61"/>
      <c r="I10" s="14"/>
    </row>
    <row r="11" spans="1:9" ht="37.5" customHeight="1">
      <c r="A11" s="15" t="s">
        <v>8</v>
      </c>
      <c r="B11" s="16" t="s">
        <v>9</v>
      </c>
      <c r="C11" s="16"/>
      <c r="D11" s="16" t="s">
        <v>10</v>
      </c>
      <c r="E11" s="16" t="s">
        <v>170</v>
      </c>
      <c r="F11" s="17" t="str">
        <f>HYPERLINK("#DocUserProvisioning!B2","Link")</f>
        <v>Link</v>
      </c>
      <c r="G11" s="16" t="s">
        <v>11</v>
      </c>
      <c r="H11" s="16"/>
      <c r="I11" s="15"/>
    </row>
    <row r="12" spans="1:9" ht="27" customHeight="1">
      <c r="A12" s="15" t="s">
        <v>12</v>
      </c>
      <c r="B12" s="16" t="s">
        <v>13</v>
      </c>
      <c r="C12" s="16"/>
      <c r="D12" s="16" t="s">
        <v>14</v>
      </c>
      <c r="E12" s="16" t="s">
        <v>15</v>
      </c>
      <c r="F12" s="17" t="str">
        <f>HYPERLINK("#DocUserProvisioning!B3","Link")</f>
        <v>Link</v>
      </c>
      <c r="G12" s="16" t="s">
        <v>192</v>
      </c>
      <c r="H12" s="16"/>
      <c r="I12" s="15"/>
    </row>
    <row r="13" spans="1:9">
      <c r="A13" s="61" t="s">
        <v>16</v>
      </c>
      <c r="B13" s="61"/>
      <c r="C13" s="61"/>
      <c r="D13" s="61"/>
      <c r="E13" s="61"/>
      <c r="F13" s="61"/>
      <c r="G13" s="61"/>
      <c r="H13" s="61"/>
      <c r="I13" s="14"/>
    </row>
    <row r="14" spans="1:9" ht="27.45" customHeight="1">
      <c r="A14" s="15" t="s">
        <v>17</v>
      </c>
      <c r="B14" s="16" t="s">
        <v>18</v>
      </c>
      <c r="C14" s="18" t="s">
        <v>19</v>
      </c>
      <c r="D14" s="19" t="s">
        <v>20</v>
      </c>
      <c r="E14" s="20" t="s">
        <v>21</v>
      </c>
      <c r="F14" s="17" t="str">
        <f>HYPERLINK("#DocUserProvisioning!B6","Link")</f>
        <v>Link</v>
      </c>
      <c r="G14" s="16"/>
      <c r="H14" s="16"/>
      <c r="I14" s="15"/>
    </row>
    <row r="15" spans="1:9" ht="25.5" customHeight="1">
      <c r="A15" s="15" t="s">
        <v>22</v>
      </c>
      <c r="B15" s="16" t="s">
        <v>158</v>
      </c>
      <c r="C15" s="18" t="s">
        <v>19</v>
      </c>
      <c r="D15" s="19" t="s">
        <v>157</v>
      </c>
      <c r="E15" s="20" t="s">
        <v>23</v>
      </c>
      <c r="F15" s="17" t="str">
        <f>HYPERLINK("#DocUserProvisioning!B7","Link")</f>
        <v>Link</v>
      </c>
      <c r="G15" s="16"/>
      <c r="H15" s="16"/>
      <c r="I15" s="15"/>
    </row>
  </sheetData>
  <mergeCells count="14">
    <mergeCell ref="F5:I8"/>
    <mergeCell ref="B1:G1"/>
    <mergeCell ref="A10:H10"/>
    <mergeCell ref="A13:H13"/>
    <mergeCell ref="C5:E5"/>
    <mergeCell ref="C3:E3"/>
    <mergeCell ref="C4:E4"/>
    <mergeCell ref="C6:E6"/>
    <mergeCell ref="C7:E7"/>
    <mergeCell ref="A3:B3"/>
    <mergeCell ref="A4:B4"/>
    <mergeCell ref="A5:B5"/>
    <mergeCell ref="A6:B6"/>
    <mergeCell ref="A7:B7"/>
  </mergeCells>
  <pageMargins left="0.7" right="0.7" top="0.75" bottom="0.75" header="0.3" footer="0.3"/>
  <pageSetup scale="75" fitToHeight="0" orientation="landscape" horizontalDpi="90" verticalDpi="90" r:id="rId1"/>
  <headerFooter>
    <oddFooter>&amp;L_x000D_&amp;1#&amp;"Calibri"&amp;10&amp;K000000 Sensitivity: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8DB01-CC66-4BCD-B23F-0D094C351F3C}">
  <sheetPr>
    <pageSetUpPr fitToPage="1"/>
  </sheetPr>
  <dimension ref="A1:F94"/>
  <sheetViews>
    <sheetView topLeftCell="A68" zoomScaleNormal="100" zoomScaleSheetLayoutView="100" workbookViewId="0">
      <selection activeCell="C5" sqref="C5:C8"/>
    </sheetView>
  </sheetViews>
  <sheetFormatPr defaultColWidth="9" defaultRowHeight="14.4"/>
  <cols>
    <col min="1" max="1" width="16.88671875" style="42" customWidth="1"/>
    <col min="2" max="2" width="21.44140625" customWidth="1"/>
    <col min="3" max="3" width="37.6640625" customWidth="1"/>
    <col min="4" max="4" width="44.109375" customWidth="1"/>
    <col min="5" max="5" width="41.109375" customWidth="1"/>
  </cols>
  <sheetData>
    <row r="1" spans="1:6">
      <c r="A1" s="41"/>
      <c r="B1" s="60" t="s">
        <v>183</v>
      </c>
      <c r="C1" s="60"/>
      <c r="D1" s="1"/>
      <c r="E1" s="1"/>
      <c r="F1" s="57"/>
    </row>
    <row r="2" spans="1:6">
      <c r="B2" s="3"/>
      <c r="C2" s="3"/>
    </row>
    <row r="3" spans="1:6">
      <c r="A3" s="43" t="s">
        <v>1</v>
      </c>
      <c r="B3" s="10" t="s">
        <v>2</v>
      </c>
      <c r="C3" s="10" t="s">
        <v>3</v>
      </c>
      <c r="D3" s="22" t="s">
        <v>5</v>
      </c>
      <c r="E3" s="22" t="s">
        <v>37</v>
      </c>
      <c r="F3" s="10" t="s">
        <v>6</v>
      </c>
    </row>
    <row r="4" spans="1:6">
      <c r="A4" s="81" t="s">
        <v>38</v>
      </c>
      <c r="B4" s="61"/>
      <c r="C4" s="61"/>
      <c r="D4" s="61"/>
      <c r="E4" s="39"/>
      <c r="F4" s="14"/>
    </row>
    <row r="5" spans="1:6" ht="16.05" customHeight="1">
      <c r="A5" s="44" t="s">
        <v>8</v>
      </c>
      <c r="B5" s="69" t="s">
        <v>26</v>
      </c>
      <c r="C5" s="83" t="s">
        <v>171</v>
      </c>
      <c r="D5" s="72"/>
      <c r="E5" s="75"/>
      <c r="F5" s="78"/>
    </row>
    <row r="6" spans="1:6" ht="13.5" customHeight="1">
      <c r="A6" s="45" t="s">
        <v>25</v>
      </c>
      <c r="B6" s="70"/>
      <c r="C6" s="84"/>
      <c r="D6" s="73"/>
      <c r="E6" s="76"/>
      <c r="F6" s="79"/>
    </row>
    <row r="7" spans="1:6" ht="11.55" customHeight="1">
      <c r="A7" s="45" t="s">
        <v>19</v>
      </c>
      <c r="B7" s="70"/>
      <c r="C7" s="84"/>
      <c r="D7" s="73"/>
      <c r="E7" s="76"/>
      <c r="F7" s="79"/>
    </row>
    <row r="8" spans="1:6" ht="13.5" customHeight="1">
      <c r="A8" s="55" t="str">
        <f>HYPERLINK("#DocCollections!B2","Documentation")</f>
        <v>Documentation</v>
      </c>
      <c r="B8" s="71"/>
      <c r="C8" s="85"/>
      <c r="D8" s="74"/>
      <c r="E8" s="77"/>
      <c r="F8" s="80"/>
    </row>
    <row r="9" spans="1:6" ht="13.5" customHeight="1">
      <c r="A9" s="44" t="s">
        <v>12</v>
      </c>
      <c r="B9" s="69" t="s">
        <v>178</v>
      </c>
      <c r="C9" s="83" t="s">
        <v>172</v>
      </c>
      <c r="D9" s="72"/>
      <c r="E9" s="75"/>
      <c r="F9" s="78"/>
    </row>
    <row r="10" spans="1:6" ht="13.95" customHeight="1">
      <c r="A10" s="45" t="s">
        <v>25</v>
      </c>
      <c r="B10" s="70"/>
      <c r="C10" s="84"/>
      <c r="D10" s="73"/>
      <c r="E10" s="76"/>
      <c r="F10" s="79"/>
    </row>
    <row r="11" spans="1:6" ht="13.05" customHeight="1">
      <c r="A11" s="45" t="s">
        <v>19</v>
      </c>
      <c r="B11" s="70"/>
      <c r="C11" s="84"/>
      <c r="D11" s="73"/>
      <c r="E11" s="76"/>
      <c r="F11" s="79"/>
    </row>
    <row r="12" spans="1:6" ht="14.55" customHeight="1">
      <c r="A12" s="55" t="str">
        <f>HYPERLINK("#DocCollections!B2","Documentation")</f>
        <v>Documentation</v>
      </c>
      <c r="B12" s="71"/>
      <c r="C12" s="85"/>
      <c r="D12" s="74"/>
      <c r="E12" s="77"/>
      <c r="F12" s="80"/>
    </row>
    <row r="13" spans="1:6" ht="13.5" customHeight="1">
      <c r="A13" s="44" t="s">
        <v>39</v>
      </c>
      <c r="B13" s="69" t="s">
        <v>29</v>
      </c>
      <c r="C13" s="83" t="s">
        <v>179</v>
      </c>
      <c r="D13" s="72"/>
      <c r="E13" s="75"/>
      <c r="F13" s="78"/>
    </row>
    <row r="14" spans="1:6" ht="13.95" customHeight="1">
      <c r="A14" s="45" t="s">
        <v>25</v>
      </c>
      <c r="B14" s="70"/>
      <c r="C14" s="84"/>
      <c r="D14" s="73"/>
      <c r="E14" s="76"/>
      <c r="F14" s="79"/>
    </row>
    <row r="15" spans="1:6" ht="13.05" customHeight="1">
      <c r="A15" s="45" t="s">
        <v>19</v>
      </c>
      <c r="B15" s="70"/>
      <c r="C15" s="84"/>
      <c r="D15" s="73"/>
      <c r="E15" s="76"/>
      <c r="F15" s="79"/>
    </row>
    <row r="16" spans="1:6" ht="14.55" customHeight="1">
      <c r="A16" s="55" t="str">
        <f>HYPERLINK("#DocCollections!B2","Documentation")</f>
        <v>Documentation</v>
      </c>
      <c r="B16" s="71"/>
      <c r="C16" s="85"/>
      <c r="D16" s="74"/>
      <c r="E16" s="77"/>
      <c r="F16" s="80"/>
    </row>
    <row r="17" spans="1:6" ht="13.5" customHeight="1">
      <c r="A17" s="44" t="s">
        <v>40</v>
      </c>
      <c r="B17" s="69" t="s">
        <v>29</v>
      </c>
      <c r="C17" s="83" t="s">
        <v>180</v>
      </c>
      <c r="D17" s="72"/>
      <c r="E17" s="75"/>
      <c r="F17" s="78"/>
    </row>
    <row r="18" spans="1:6" ht="13.95" customHeight="1">
      <c r="A18" s="45" t="s">
        <v>25</v>
      </c>
      <c r="B18" s="70"/>
      <c r="C18" s="84"/>
      <c r="D18" s="73"/>
      <c r="E18" s="76"/>
      <c r="F18" s="79"/>
    </row>
    <row r="19" spans="1:6" ht="13.05" customHeight="1">
      <c r="A19" s="45" t="s">
        <v>19</v>
      </c>
      <c r="B19" s="70"/>
      <c r="C19" s="84"/>
      <c r="D19" s="73"/>
      <c r="E19" s="76"/>
      <c r="F19" s="79"/>
    </row>
    <row r="20" spans="1:6" ht="13.95" customHeight="1">
      <c r="A20" s="55" t="str">
        <f>HYPERLINK("#DocCollections!B2","Documentation")</f>
        <v>Documentation</v>
      </c>
      <c r="B20" s="71"/>
      <c r="C20" s="85"/>
      <c r="D20" s="74"/>
      <c r="E20" s="77"/>
      <c r="F20" s="80"/>
    </row>
    <row r="21" spans="1:6">
      <c r="A21" s="82" t="s">
        <v>41</v>
      </c>
      <c r="B21" s="82"/>
      <c r="C21" s="82"/>
      <c r="D21" s="82"/>
      <c r="E21" s="40"/>
      <c r="F21" s="14"/>
    </row>
    <row r="22" spans="1:6" ht="13.5" customHeight="1">
      <c r="A22" s="44" t="s">
        <v>17</v>
      </c>
      <c r="B22" s="69" t="s">
        <v>43</v>
      </c>
      <c r="C22" s="72" t="s">
        <v>44</v>
      </c>
      <c r="D22" s="72"/>
      <c r="E22" s="75"/>
      <c r="F22" s="78"/>
    </row>
    <row r="23" spans="1:6" ht="13.95" customHeight="1">
      <c r="A23" s="45" t="s">
        <v>42</v>
      </c>
      <c r="B23" s="70"/>
      <c r="C23" s="73"/>
      <c r="D23" s="73"/>
      <c r="E23" s="76"/>
      <c r="F23" s="79"/>
    </row>
    <row r="24" spans="1:6" ht="13.05" customHeight="1">
      <c r="A24" s="45" t="s">
        <v>19</v>
      </c>
      <c r="B24" s="70"/>
      <c r="C24" s="73"/>
      <c r="D24" s="73"/>
      <c r="E24" s="76"/>
      <c r="F24" s="79"/>
    </row>
    <row r="25" spans="1:6" ht="13.95" customHeight="1">
      <c r="A25" s="55" t="str">
        <f>HYPERLINK("#DocCollections!B3","Documentation")</f>
        <v>Documentation</v>
      </c>
      <c r="B25" s="71"/>
      <c r="C25" s="74"/>
      <c r="D25" s="74"/>
      <c r="E25" s="77"/>
      <c r="F25" s="80"/>
    </row>
    <row r="26" spans="1:6" ht="13.5" customHeight="1">
      <c r="A26" s="44" t="s">
        <v>22</v>
      </c>
      <c r="B26" s="69" t="s">
        <v>45</v>
      </c>
      <c r="C26" s="72" t="s">
        <v>44</v>
      </c>
      <c r="D26" s="72"/>
      <c r="E26" s="75"/>
      <c r="F26" s="78"/>
    </row>
    <row r="27" spans="1:6" ht="13.95" customHeight="1">
      <c r="A27" s="45" t="s">
        <v>42</v>
      </c>
      <c r="B27" s="70"/>
      <c r="C27" s="73"/>
      <c r="D27" s="73"/>
      <c r="E27" s="76"/>
      <c r="F27" s="79"/>
    </row>
    <row r="28" spans="1:6" ht="13.05" customHeight="1">
      <c r="A28" s="45" t="s">
        <v>19</v>
      </c>
      <c r="B28" s="70"/>
      <c r="C28" s="73"/>
      <c r="D28" s="73"/>
      <c r="E28" s="76"/>
      <c r="F28" s="79"/>
    </row>
    <row r="29" spans="1:6" ht="13.95" customHeight="1">
      <c r="A29" s="55" t="str">
        <f>HYPERLINK("#DocCollections!B3","Documentation")</f>
        <v>Documentation</v>
      </c>
      <c r="B29" s="71"/>
      <c r="C29" s="74"/>
      <c r="D29" s="74"/>
      <c r="E29" s="77"/>
      <c r="F29" s="80"/>
    </row>
    <row r="30" spans="1:6" ht="13.5" customHeight="1">
      <c r="A30" s="44" t="s">
        <v>24</v>
      </c>
      <c r="B30" s="69" t="s">
        <v>46</v>
      </c>
      <c r="C30" s="72" t="s">
        <v>44</v>
      </c>
      <c r="D30" s="72"/>
      <c r="E30" s="75"/>
      <c r="F30" s="78"/>
    </row>
    <row r="31" spans="1:6" ht="13.95" customHeight="1">
      <c r="A31" s="45" t="s">
        <v>42</v>
      </c>
      <c r="B31" s="70"/>
      <c r="C31" s="73"/>
      <c r="D31" s="73"/>
      <c r="E31" s="76"/>
      <c r="F31" s="79"/>
    </row>
    <row r="32" spans="1:6" ht="13.05" customHeight="1">
      <c r="A32" s="45" t="s">
        <v>19</v>
      </c>
      <c r="B32" s="70"/>
      <c r="C32" s="73"/>
      <c r="D32" s="73"/>
      <c r="E32" s="76"/>
      <c r="F32" s="79"/>
    </row>
    <row r="33" spans="1:6" ht="13.95" customHeight="1">
      <c r="A33" s="55" t="str">
        <f>HYPERLINK("#DocCollections!B3","Documentation")</f>
        <v>Documentation</v>
      </c>
      <c r="B33" s="71"/>
      <c r="C33" s="74"/>
      <c r="D33" s="74"/>
      <c r="E33" s="77"/>
      <c r="F33" s="80"/>
    </row>
    <row r="34" spans="1:6" ht="13.5" customHeight="1">
      <c r="A34" s="44" t="s">
        <v>27</v>
      </c>
      <c r="B34" s="69" t="s">
        <v>47</v>
      </c>
      <c r="C34" s="72" t="s">
        <v>48</v>
      </c>
      <c r="D34" s="72"/>
      <c r="E34" s="75"/>
      <c r="F34" s="78"/>
    </row>
    <row r="35" spans="1:6" ht="13.95" customHeight="1">
      <c r="A35" s="45" t="s">
        <v>42</v>
      </c>
      <c r="B35" s="70"/>
      <c r="C35" s="73"/>
      <c r="D35" s="73"/>
      <c r="E35" s="76"/>
      <c r="F35" s="79"/>
    </row>
    <row r="36" spans="1:6" ht="13.05" customHeight="1">
      <c r="A36" s="45" t="s">
        <v>19</v>
      </c>
      <c r="B36" s="70"/>
      <c r="C36" s="73"/>
      <c r="D36" s="73"/>
      <c r="E36" s="76"/>
      <c r="F36" s="79"/>
    </row>
    <row r="37" spans="1:6" ht="13.95" customHeight="1">
      <c r="A37" s="55" t="str">
        <f>HYPERLINK("#DocCollections!B3","Documentation")</f>
        <v>Documentation</v>
      </c>
      <c r="B37" s="71"/>
      <c r="C37" s="74"/>
      <c r="D37" s="74"/>
      <c r="E37" s="77"/>
      <c r="F37" s="80"/>
    </row>
    <row r="38" spans="1:6" ht="13.5" customHeight="1">
      <c r="A38" s="44" t="s">
        <v>28</v>
      </c>
      <c r="B38" s="69" t="s">
        <v>49</v>
      </c>
      <c r="C38" s="72" t="s">
        <v>50</v>
      </c>
      <c r="D38" s="72"/>
      <c r="E38" s="75"/>
      <c r="F38" s="78"/>
    </row>
    <row r="39" spans="1:6" ht="13.95" customHeight="1">
      <c r="A39" s="45" t="s">
        <v>42</v>
      </c>
      <c r="B39" s="70"/>
      <c r="C39" s="73"/>
      <c r="D39" s="73"/>
      <c r="E39" s="76"/>
      <c r="F39" s="79"/>
    </row>
    <row r="40" spans="1:6" ht="13.05" customHeight="1">
      <c r="A40" s="45" t="s">
        <v>19</v>
      </c>
      <c r="B40" s="70"/>
      <c r="C40" s="73"/>
      <c r="D40" s="73"/>
      <c r="E40" s="76"/>
      <c r="F40" s="79"/>
    </row>
    <row r="41" spans="1:6" ht="13.95" customHeight="1">
      <c r="A41" s="55" t="str">
        <f>HYPERLINK("#DocCollections!B3","Documentation")</f>
        <v>Documentation</v>
      </c>
      <c r="B41" s="71"/>
      <c r="C41" s="74"/>
      <c r="D41" s="74"/>
      <c r="E41" s="77"/>
      <c r="F41" s="80"/>
    </row>
    <row r="42" spans="1:6" ht="13.5" customHeight="1">
      <c r="A42" s="44" t="s">
        <v>30</v>
      </c>
      <c r="B42" s="69" t="s">
        <v>51</v>
      </c>
      <c r="C42" s="72" t="s">
        <v>52</v>
      </c>
      <c r="D42" s="72"/>
      <c r="E42" s="75"/>
      <c r="F42" s="78"/>
    </row>
    <row r="43" spans="1:6" ht="13.95" customHeight="1">
      <c r="A43" s="45" t="s">
        <v>42</v>
      </c>
      <c r="B43" s="70"/>
      <c r="C43" s="73"/>
      <c r="D43" s="73"/>
      <c r="E43" s="76"/>
      <c r="F43" s="79"/>
    </row>
    <row r="44" spans="1:6" ht="13.05" customHeight="1">
      <c r="A44" s="45" t="s">
        <v>19</v>
      </c>
      <c r="B44" s="70"/>
      <c r="C44" s="73"/>
      <c r="D44" s="73"/>
      <c r="E44" s="76"/>
      <c r="F44" s="79"/>
    </row>
    <row r="45" spans="1:6" ht="13.95" customHeight="1">
      <c r="A45" s="55" t="str">
        <f>HYPERLINK("#DocCollections!B3","Documentation")</f>
        <v>Documentation</v>
      </c>
      <c r="B45" s="71"/>
      <c r="C45" s="74"/>
      <c r="D45" s="74"/>
      <c r="E45" s="77"/>
      <c r="F45" s="80"/>
    </row>
    <row r="46" spans="1:6" ht="13.5" customHeight="1">
      <c r="A46" s="44" t="s">
        <v>31</v>
      </c>
      <c r="B46" s="69" t="s">
        <v>53</v>
      </c>
      <c r="C46" s="72" t="s">
        <v>54</v>
      </c>
      <c r="D46" s="72"/>
      <c r="E46" s="75"/>
      <c r="F46" s="78"/>
    </row>
    <row r="47" spans="1:6" ht="13.95" customHeight="1">
      <c r="A47" s="45" t="s">
        <v>42</v>
      </c>
      <c r="B47" s="70"/>
      <c r="C47" s="73"/>
      <c r="D47" s="73"/>
      <c r="E47" s="76"/>
      <c r="F47" s="79"/>
    </row>
    <row r="48" spans="1:6" ht="13.05" customHeight="1">
      <c r="A48" s="45" t="s">
        <v>19</v>
      </c>
      <c r="B48" s="70"/>
      <c r="C48" s="73"/>
      <c r="D48" s="73"/>
      <c r="E48" s="76"/>
      <c r="F48" s="79"/>
    </row>
    <row r="49" spans="1:6" ht="13.95" customHeight="1">
      <c r="A49" s="55" t="str">
        <f>HYPERLINK("#DocCollections!B3","Documentation")</f>
        <v>Documentation</v>
      </c>
      <c r="B49" s="71"/>
      <c r="C49" s="74"/>
      <c r="D49" s="74"/>
      <c r="E49" s="77"/>
      <c r="F49" s="80"/>
    </row>
    <row r="50" spans="1:6" ht="13.5" customHeight="1">
      <c r="A50" s="44" t="s">
        <v>32</v>
      </c>
      <c r="B50" s="69" t="s">
        <v>55</v>
      </c>
      <c r="C50" s="72" t="s">
        <v>56</v>
      </c>
      <c r="D50" s="72"/>
      <c r="E50" s="75"/>
      <c r="F50" s="78"/>
    </row>
    <row r="51" spans="1:6" ht="13.95" customHeight="1">
      <c r="A51" s="45" t="s">
        <v>42</v>
      </c>
      <c r="B51" s="70"/>
      <c r="C51" s="73"/>
      <c r="D51" s="73"/>
      <c r="E51" s="76"/>
      <c r="F51" s="79"/>
    </row>
    <row r="52" spans="1:6" ht="13.05" customHeight="1">
      <c r="A52" s="45" t="s">
        <v>19</v>
      </c>
      <c r="B52" s="70"/>
      <c r="C52" s="73"/>
      <c r="D52" s="73"/>
      <c r="E52" s="76"/>
      <c r="F52" s="79"/>
    </row>
    <row r="53" spans="1:6" ht="13.95" customHeight="1">
      <c r="A53" s="55" t="str">
        <f>HYPERLINK("#DocCollections!B3","Documentation")</f>
        <v>Documentation</v>
      </c>
      <c r="B53" s="71"/>
      <c r="C53" s="74"/>
      <c r="D53" s="74"/>
      <c r="E53" s="77"/>
      <c r="F53" s="80"/>
    </row>
    <row r="54" spans="1:6" ht="13.5" customHeight="1">
      <c r="A54" s="44" t="s">
        <v>33</v>
      </c>
      <c r="B54" s="69" t="s">
        <v>57</v>
      </c>
      <c r="C54" s="72" t="s">
        <v>58</v>
      </c>
      <c r="D54" s="72"/>
      <c r="E54" s="75"/>
      <c r="F54" s="78"/>
    </row>
    <row r="55" spans="1:6" ht="13.95" customHeight="1">
      <c r="A55" s="45" t="s">
        <v>42</v>
      </c>
      <c r="B55" s="70"/>
      <c r="C55" s="73"/>
      <c r="D55" s="73"/>
      <c r="E55" s="76"/>
      <c r="F55" s="79"/>
    </row>
    <row r="56" spans="1:6" ht="13.05" customHeight="1">
      <c r="A56" s="45" t="s">
        <v>19</v>
      </c>
      <c r="B56" s="70"/>
      <c r="C56" s="73"/>
      <c r="D56" s="73"/>
      <c r="E56" s="76"/>
      <c r="F56" s="79"/>
    </row>
    <row r="57" spans="1:6" ht="13.95" customHeight="1">
      <c r="A57" s="55" t="str">
        <f>HYPERLINK("#DocCollections!B3","Documentation")</f>
        <v>Documentation</v>
      </c>
      <c r="B57" s="71"/>
      <c r="C57" s="74"/>
      <c r="D57" s="74"/>
      <c r="E57" s="77"/>
      <c r="F57" s="80"/>
    </row>
    <row r="58" spans="1:6" ht="13.5" customHeight="1">
      <c r="A58" s="44" t="s">
        <v>34</v>
      </c>
      <c r="B58" s="69" t="s">
        <v>59</v>
      </c>
      <c r="C58" s="72" t="s">
        <v>60</v>
      </c>
      <c r="D58" s="72"/>
      <c r="E58" s="75"/>
      <c r="F58" s="78"/>
    </row>
    <row r="59" spans="1:6" ht="13.95" customHeight="1">
      <c r="A59" s="45" t="s">
        <v>42</v>
      </c>
      <c r="B59" s="70"/>
      <c r="C59" s="73"/>
      <c r="D59" s="73"/>
      <c r="E59" s="76"/>
      <c r="F59" s="79"/>
    </row>
    <row r="60" spans="1:6" ht="13.05" customHeight="1">
      <c r="A60" s="45" t="s">
        <v>19</v>
      </c>
      <c r="B60" s="70"/>
      <c r="C60" s="73"/>
      <c r="D60" s="73"/>
      <c r="E60" s="76"/>
      <c r="F60" s="79"/>
    </row>
    <row r="61" spans="1:6" ht="13.95" customHeight="1">
      <c r="A61" s="55" t="str">
        <f>HYPERLINK("#DocCollections!B3","Documentation")</f>
        <v>Documentation</v>
      </c>
      <c r="B61" s="71"/>
      <c r="C61" s="74"/>
      <c r="D61" s="74"/>
      <c r="E61" s="77"/>
      <c r="F61" s="80"/>
    </row>
    <row r="62" spans="1:6" ht="13.5" customHeight="1">
      <c r="A62" s="44" t="s">
        <v>36</v>
      </c>
      <c r="B62" s="69" t="s">
        <v>61</v>
      </c>
      <c r="C62" s="72" t="s">
        <v>62</v>
      </c>
      <c r="D62" s="72" t="s">
        <v>181</v>
      </c>
      <c r="E62" s="75"/>
      <c r="F62" s="78"/>
    </row>
    <row r="63" spans="1:6" ht="13.95" customHeight="1">
      <c r="A63" s="45" t="s">
        <v>42</v>
      </c>
      <c r="B63" s="70"/>
      <c r="C63" s="73"/>
      <c r="D63" s="73"/>
      <c r="E63" s="76"/>
      <c r="F63" s="79"/>
    </row>
    <row r="64" spans="1:6" ht="13.05" customHeight="1">
      <c r="A64" s="45" t="s">
        <v>19</v>
      </c>
      <c r="B64" s="70"/>
      <c r="C64" s="73"/>
      <c r="D64" s="73"/>
      <c r="E64" s="76"/>
      <c r="F64" s="79"/>
    </row>
    <row r="65" spans="1:6" ht="13.95" customHeight="1">
      <c r="A65" s="55" t="str">
        <f>HYPERLINK("#DocCollections!B3","Documentation")</f>
        <v>Documentation</v>
      </c>
      <c r="B65" s="71"/>
      <c r="C65" s="74"/>
      <c r="D65" s="74"/>
      <c r="E65" s="77"/>
      <c r="F65" s="80"/>
    </row>
    <row r="66" spans="1:6">
      <c r="A66" s="46"/>
      <c r="B66" s="4"/>
      <c r="C66" s="4"/>
      <c r="D66" s="6"/>
      <c r="E66" s="5"/>
      <c r="F66" s="2"/>
    </row>
    <row r="67" spans="1:6" ht="13.5" customHeight="1">
      <c r="A67" s="45" t="s">
        <v>63</v>
      </c>
      <c r="B67" s="69" t="s">
        <v>65</v>
      </c>
      <c r="C67" s="72" t="s">
        <v>66</v>
      </c>
      <c r="D67" s="72" t="s">
        <v>181</v>
      </c>
      <c r="E67" s="75"/>
      <c r="F67" s="78"/>
    </row>
    <row r="68" spans="1:6" ht="13.95" customHeight="1">
      <c r="A68" s="45" t="s">
        <v>42</v>
      </c>
      <c r="B68" s="70"/>
      <c r="C68" s="73"/>
      <c r="D68" s="73"/>
      <c r="E68" s="76"/>
      <c r="F68" s="79"/>
    </row>
    <row r="69" spans="1:6" ht="13.05" customHeight="1">
      <c r="A69" s="45" t="s">
        <v>64</v>
      </c>
      <c r="B69" s="70"/>
      <c r="C69" s="73"/>
      <c r="D69" s="73"/>
      <c r="E69" s="76"/>
      <c r="F69" s="79"/>
    </row>
    <row r="70" spans="1:6" ht="13.95" customHeight="1">
      <c r="A70" s="55" t="str">
        <f>HYPERLINK("#DocCollections!B4","Documentation")</f>
        <v>Documentation</v>
      </c>
      <c r="B70" s="71"/>
      <c r="C70" s="74"/>
      <c r="D70" s="74"/>
      <c r="E70" s="77"/>
      <c r="F70" s="80"/>
    </row>
    <row r="71" spans="1:6" ht="13.5" customHeight="1">
      <c r="A71" s="45" t="s">
        <v>67</v>
      </c>
      <c r="B71" s="69" t="s">
        <v>68</v>
      </c>
      <c r="C71" s="72" t="s">
        <v>69</v>
      </c>
      <c r="D71" s="72" t="s">
        <v>181</v>
      </c>
      <c r="E71" s="75"/>
      <c r="F71" s="78"/>
    </row>
    <row r="72" spans="1:6" ht="13.95" customHeight="1">
      <c r="A72" s="45" t="s">
        <v>42</v>
      </c>
      <c r="B72" s="70"/>
      <c r="C72" s="73"/>
      <c r="D72" s="73"/>
      <c r="E72" s="76"/>
      <c r="F72" s="79"/>
    </row>
    <row r="73" spans="1:6" ht="13.05" customHeight="1">
      <c r="A73" s="45" t="s">
        <v>64</v>
      </c>
      <c r="B73" s="70"/>
      <c r="C73" s="73"/>
      <c r="D73" s="73"/>
      <c r="E73" s="76"/>
      <c r="F73" s="79"/>
    </row>
    <row r="74" spans="1:6" ht="13.95" customHeight="1">
      <c r="A74" s="55" t="str">
        <f>HYPERLINK("#DocCollections!B4","Documentation")</f>
        <v>Documentation</v>
      </c>
      <c r="B74" s="71"/>
      <c r="C74" s="74"/>
      <c r="D74" s="74"/>
      <c r="E74" s="77"/>
      <c r="F74" s="80"/>
    </row>
    <row r="75" spans="1:6" ht="13.5" customHeight="1">
      <c r="A75" s="45" t="s">
        <v>70</v>
      </c>
      <c r="B75" s="69" t="s">
        <v>71</v>
      </c>
      <c r="C75" s="72" t="s">
        <v>58</v>
      </c>
      <c r="D75" s="72" t="s">
        <v>181</v>
      </c>
      <c r="E75" s="75"/>
      <c r="F75" s="78"/>
    </row>
    <row r="76" spans="1:6" ht="13.95" customHeight="1">
      <c r="A76" s="45" t="s">
        <v>42</v>
      </c>
      <c r="B76" s="70"/>
      <c r="C76" s="73"/>
      <c r="D76" s="73"/>
      <c r="E76" s="76"/>
      <c r="F76" s="79"/>
    </row>
    <row r="77" spans="1:6" ht="13.05" customHeight="1">
      <c r="A77" s="45" t="s">
        <v>64</v>
      </c>
      <c r="B77" s="70"/>
      <c r="C77" s="73"/>
      <c r="D77" s="73"/>
      <c r="E77" s="76"/>
      <c r="F77" s="79"/>
    </row>
    <row r="78" spans="1:6" ht="13.95" customHeight="1">
      <c r="A78" s="55" t="str">
        <f>HYPERLINK("#DocCollections!B4","Documentation")</f>
        <v>Documentation</v>
      </c>
      <c r="B78" s="71"/>
      <c r="C78" s="74"/>
      <c r="D78" s="74"/>
      <c r="E78" s="77"/>
      <c r="F78" s="80"/>
    </row>
    <row r="79" spans="1:6" ht="13.5" customHeight="1">
      <c r="A79" s="45" t="s">
        <v>72</v>
      </c>
      <c r="B79" s="69" t="s">
        <v>59</v>
      </c>
      <c r="C79" s="72" t="s">
        <v>60</v>
      </c>
      <c r="D79" s="72" t="s">
        <v>181</v>
      </c>
      <c r="E79" s="75"/>
      <c r="F79" s="78"/>
    </row>
    <row r="80" spans="1:6" ht="13.95" customHeight="1">
      <c r="A80" s="45" t="s">
        <v>42</v>
      </c>
      <c r="B80" s="70"/>
      <c r="C80" s="73"/>
      <c r="D80" s="73"/>
      <c r="E80" s="76"/>
      <c r="F80" s="79"/>
    </row>
    <row r="81" spans="1:6" ht="13.05" customHeight="1">
      <c r="A81" s="45" t="s">
        <v>64</v>
      </c>
      <c r="B81" s="70"/>
      <c r="C81" s="73"/>
      <c r="D81" s="73"/>
      <c r="E81" s="76"/>
      <c r="F81" s="79"/>
    </row>
    <row r="82" spans="1:6" ht="13.95" customHeight="1">
      <c r="A82" s="55" t="str">
        <f>HYPERLINK("#DocCollections!B4","Documentation")</f>
        <v>Documentation</v>
      </c>
      <c r="B82" s="71"/>
      <c r="C82" s="74"/>
      <c r="D82" s="74"/>
      <c r="E82" s="77"/>
      <c r="F82" s="80"/>
    </row>
    <row r="83" spans="1:6" ht="13.5" customHeight="1">
      <c r="A83" s="45" t="s">
        <v>73</v>
      </c>
      <c r="B83" s="69" t="s">
        <v>61</v>
      </c>
      <c r="C83" s="72" t="s">
        <v>62</v>
      </c>
      <c r="D83" s="72" t="s">
        <v>181</v>
      </c>
      <c r="E83" s="75"/>
      <c r="F83" s="78"/>
    </row>
    <row r="84" spans="1:6" ht="13.95" customHeight="1">
      <c r="A84" s="45" t="s">
        <v>42</v>
      </c>
      <c r="B84" s="70"/>
      <c r="C84" s="73"/>
      <c r="D84" s="73"/>
      <c r="E84" s="76"/>
      <c r="F84" s="79"/>
    </row>
    <row r="85" spans="1:6" ht="13.05" customHeight="1">
      <c r="A85" s="45" t="s">
        <v>64</v>
      </c>
      <c r="B85" s="70"/>
      <c r="C85" s="73"/>
      <c r="D85" s="73"/>
      <c r="E85" s="76"/>
      <c r="F85" s="79"/>
    </row>
    <row r="86" spans="1:6" ht="13.95" customHeight="1">
      <c r="A86" s="55" t="str">
        <f>HYPERLINK("#DocCollections!B4","Documentation")</f>
        <v>Documentation</v>
      </c>
      <c r="B86" s="71"/>
      <c r="C86" s="74"/>
      <c r="D86" s="74"/>
      <c r="E86" s="77"/>
      <c r="F86" s="80"/>
    </row>
    <row r="87" spans="1:6" ht="13.5" customHeight="1">
      <c r="A87" s="45" t="s">
        <v>163</v>
      </c>
      <c r="B87" s="69" t="s">
        <v>165</v>
      </c>
      <c r="C87" s="72" t="s">
        <v>164</v>
      </c>
      <c r="D87" s="72" t="s">
        <v>181</v>
      </c>
      <c r="E87" s="75"/>
      <c r="F87" s="78"/>
    </row>
    <row r="88" spans="1:6" ht="13.95" customHeight="1">
      <c r="A88" s="45" t="s">
        <v>42</v>
      </c>
      <c r="B88" s="70"/>
      <c r="C88" s="73"/>
      <c r="D88" s="73"/>
      <c r="E88" s="76"/>
      <c r="F88" s="79"/>
    </row>
    <row r="89" spans="1:6" ht="13.05" customHeight="1">
      <c r="A89" s="45" t="s">
        <v>19</v>
      </c>
      <c r="B89" s="70"/>
      <c r="C89" s="73"/>
      <c r="D89" s="73"/>
      <c r="E89" s="76"/>
      <c r="F89" s="79"/>
    </row>
    <row r="90" spans="1:6" ht="13.95" customHeight="1">
      <c r="A90" s="55" t="str">
        <f>HYPERLINK("#DocCollections!B3","Documentation")</f>
        <v>Documentation</v>
      </c>
      <c r="B90" s="71"/>
      <c r="C90" s="74"/>
      <c r="D90" s="74"/>
      <c r="E90" s="77"/>
      <c r="F90" s="80"/>
    </row>
    <row r="91" spans="1:6" ht="13.5" customHeight="1">
      <c r="A91" s="45" t="s">
        <v>168</v>
      </c>
      <c r="B91" s="69" t="s">
        <v>166</v>
      </c>
      <c r="C91" s="72" t="s">
        <v>167</v>
      </c>
      <c r="D91" s="72" t="s">
        <v>181</v>
      </c>
      <c r="E91" s="75"/>
      <c r="F91" s="78"/>
    </row>
    <row r="92" spans="1:6" ht="13.95" customHeight="1">
      <c r="A92" s="45" t="s">
        <v>42</v>
      </c>
      <c r="B92" s="70"/>
      <c r="C92" s="73"/>
      <c r="D92" s="73"/>
      <c r="E92" s="76"/>
      <c r="F92" s="79"/>
    </row>
    <row r="93" spans="1:6" ht="13.05" customHeight="1">
      <c r="A93" s="45" t="s">
        <v>19</v>
      </c>
      <c r="B93" s="70"/>
      <c r="C93" s="73"/>
      <c r="D93" s="73"/>
      <c r="E93" s="76"/>
      <c r="F93" s="79"/>
    </row>
    <row r="94" spans="1:6" ht="13.95" customHeight="1">
      <c r="A94" s="55" t="str">
        <f>HYPERLINK("#DocCollections!B3","Documentation")</f>
        <v>Documentation</v>
      </c>
      <c r="B94" s="71"/>
      <c r="C94" s="74"/>
      <c r="D94" s="74"/>
      <c r="E94" s="77"/>
      <c r="F94" s="80"/>
    </row>
  </sheetData>
  <mergeCells count="113">
    <mergeCell ref="B62:B65"/>
    <mergeCell ref="C62:C65"/>
    <mergeCell ref="D62:D65"/>
    <mergeCell ref="E62:E65"/>
    <mergeCell ref="F62:F65"/>
    <mergeCell ref="B58:B61"/>
    <mergeCell ref="C58:C61"/>
    <mergeCell ref="D58:D61"/>
    <mergeCell ref="E58:E61"/>
    <mergeCell ref="F58:F61"/>
    <mergeCell ref="B54:B57"/>
    <mergeCell ref="C54:C57"/>
    <mergeCell ref="D54:D57"/>
    <mergeCell ref="E54:E57"/>
    <mergeCell ref="F54:F57"/>
    <mergeCell ref="B50:B53"/>
    <mergeCell ref="C50:C53"/>
    <mergeCell ref="D50:D53"/>
    <mergeCell ref="E50:E53"/>
    <mergeCell ref="F50:F53"/>
    <mergeCell ref="B46:B49"/>
    <mergeCell ref="C46:C49"/>
    <mergeCell ref="D46:D49"/>
    <mergeCell ref="E46:E49"/>
    <mergeCell ref="F46:F49"/>
    <mergeCell ref="B42:B45"/>
    <mergeCell ref="C42:C45"/>
    <mergeCell ref="D42:D45"/>
    <mergeCell ref="E42:E45"/>
    <mergeCell ref="F42:F45"/>
    <mergeCell ref="B38:B41"/>
    <mergeCell ref="C38:C41"/>
    <mergeCell ref="D38:D41"/>
    <mergeCell ref="E38:E41"/>
    <mergeCell ref="F38:F41"/>
    <mergeCell ref="B34:B37"/>
    <mergeCell ref="C34:C37"/>
    <mergeCell ref="D34:D37"/>
    <mergeCell ref="E34:E37"/>
    <mergeCell ref="F34:F37"/>
    <mergeCell ref="B30:B33"/>
    <mergeCell ref="C30:C33"/>
    <mergeCell ref="D30:D33"/>
    <mergeCell ref="E30:E33"/>
    <mergeCell ref="F30:F33"/>
    <mergeCell ref="B26:B29"/>
    <mergeCell ref="C26:C29"/>
    <mergeCell ref="D26:D29"/>
    <mergeCell ref="E26:E29"/>
    <mergeCell ref="F26:F29"/>
    <mergeCell ref="C17:C20"/>
    <mergeCell ref="D17:D20"/>
    <mergeCell ref="E17:E20"/>
    <mergeCell ref="F17:F20"/>
    <mergeCell ref="B22:B25"/>
    <mergeCell ref="C22:C25"/>
    <mergeCell ref="D22:D25"/>
    <mergeCell ref="E22:E25"/>
    <mergeCell ref="F22:F25"/>
    <mergeCell ref="B67:B70"/>
    <mergeCell ref="C67:C70"/>
    <mergeCell ref="D67:D70"/>
    <mergeCell ref="E67:E70"/>
    <mergeCell ref="F67:F70"/>
    <mergeCell ref="B1:C1"/>
    <mergeCell ref="A4:D4"/>
    <mergeCell ref="A21:D21"/>
    <mergeCell ref="B5:B8"/>
    <mergeCell ref="C5:C8"/>
    <mergeCell ref="D5:D8"/>
    <mergeCell ref="B13:B16"/>
    <mergeCell ref="C13:C16"/>
    <mergeCell ref="D13:D16"/>
    <mergeCell ref="E5:E8"/>
    <mergeCell ref="F5:F8"/>
    <mergeCell ref="B9:B12"/>
    <mergeCell ref="C9:C12"/>
    <mergeCell ref="D9:D12"/>
    <mergeCell ref="E9:E12"/>
    <mergeCell ref="F9:F12"/>
    <mergeCell ref="E13:E16"/>
    <mergeCell ref="F13:F16"/>
    <mergeCell ref="B17:B20"/>
    <mergeCell ref="B75:B78"/>
    <mergeCell ref="C75:C78"/>
    <mergeCell ref="D75:D78"/>
    <mergeCell ref="E75:E78"/>
    <mergeCell ref="F75:F78"/>
    <mergeCell ref="B71:B74"/>
    <mergeCell ref="C71:C74"/>
    <mergeCell ref="D71:D74"/>
    <mergeCell ref="E71:E74"/>
    <mergeCell ref="F71:F74"/>
    <mergeCell ref="B83:B86"/>
    <mergeCell ref="C83:C86"/>
    <mergeCell ref="D83:D86"/>
    <mergeCell ref="E83:E86"/>
    <mergeCell ref="F83:F86"/>
    <mergeCell ref="B79:B82"/>
    <mergeCell ref="C79:C82"/>
    <mergeCell ref="D79:D82"/>
    <mergeCell ref="E79:E82"/>
    <mergeCell ref="F79:F82"/>
    <mergeCell ref="B91:B94"/>
    <mergeCell ref="C91:C94"/>
    <mergeCell ref="D91:D94"/>
    <mergeCell ref="E91:E94"/>
    <mergeCell ref="F91:F94"/>
    <mergeCell ref="B87:B90"/>
    <mergeCell ref="C87:C90"/>
    <mergeCell ref="D87:D90"/>
    <mergeCell ref="E87:E90"/>
    <mergeCell ref="F87:F90"/>
  </mergeCells>
  <printOptions gridLines="1"/>
  <pageMargins left="0.7" right="0.7" top="0.75" bottom="0.75" header="0.3" footer="0.3"/>
  <pageSetup fitToHeight="0" orientation="landscape" horizontalDpi="90" verticalDpi="90" r:id="rId1"/>
  <headerFooter>
    <oddFooter>&amp;L_x000D_&amp;1#&amp;"Calibri"&amp;10&amp;K000000 Sensitivity: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C1E69-0699-4104-8CC3-8981509EA55D}">
  <sheetPr>
    <pageSetUpPr fitToPage="1"/>
  </sheetPr>
  <dimension ref="A1:F87"/>
  <sheetViews>
    <sheetView topLeftCell="A55" zoomScaleNormal="100" zoomScaleSheetLayoutView="100" workbookViewId="0">
      <selection activeCell="E9" sqref="E9:E12"/>
    </sheetView>
  </sheetViews>
  <sheetFormatPr defaultColWidth="9" defaultRowHeight="14.4"/>
  <cols>
    <col min="1" max="1" width="18.44140625" style="42" customWidth="1"/>
    <col min="2" max="2" width="21.44140625" customWidth="1"/>
    <col min="3" max="3" width="37.6640625" customWidth="1"/>
    <col min="4" max="4" width="44.109375" customWidth="1"/>
    <col min="5" max="5" width="41.109375" customWidth="1"/>
  </cols>
  <sheetData>
    <row r="1" spans="1:6">
      <c r="A1" s="41"/>
      <c r="B1" s="60" t="s">
        <v>182</v>
      </c>
      <c r="C1" s="60"/>
      <c r="D1" s="1"/>
      <c r="E1" s="1"/>
      <c r="F1" s="57"/>
    </row>
    <row r="2" spans="1:6">
      <c r="B2" s="3"/>
      <c r="C2" s="3"/>
    </row>
    <row r="3" spans="1:6">
      <c r="A3" s="43" t="s">
        <v>1</v>
      </c>
      <c r="B3" s="10" t="s">
        <v>2</v>
      </c>
      <c r="C3" s="10" t="s">
        <v>3</v>
      </c>
      <c r="D3" s="22" t="s">
        <v>5</v>
      </c>
      <c r="E3" s="22" t="s">
        <v>37</v>
      </c>
      <c r="F3" s="10" t="s">
        <v>6</v>
      </c>
    </row>
    <row r="4" spans="1:6">
      <c r="A4" s="81" t="s">
        <v>38</v>
      </c>
      <c r="B4" s="61"/>
      <c r="C4" s="61"/>
      <c r="D4" s="61"/>
      <c r="E4" s="39"/>
      <c r="F4" s="14"/>
    </row>
    <row r="5" spans="1:6" ht="16.05" customHeight="1">
      <c r="A5" s="44" t="s">
        <v>8</v>
      </c>
      <c r="B5" s="69" t="s">
        <v>26</v>
      </c>
      <c r="C5" s="83" t="s">
        <v>171</v>
      </c>
      <c r="D5" s="72"/>
      <c r="E5" s="75"/>
      <c r="F5" s="78"/>
    </row>
    <row r="6" spans="1:6" ht="13.5" customHeight="1">
      <c r="A6" s="45" t="s">
        <v>25</v>
      </c>
      <c r="B6" s="70"/>
      <c r="C6" s="84"/>
      <c r="D6" s="73"/>
      <c r="E6" s="76"/>
      <c r="F6" s="79"/>
    </row>
    <row r="7" spans="1:6" ht="11.55" customHeight="1">
      <c r="A7" s="45" t="s">
        <v>19</v>
      </c>
      <c r="B7" s="70"/>
      <c r="C7" s="84"/>
      <c r="D7" s="73"/>
      <c r="E7" s="76"/>
      <c r="F7" s="79"/>
    </row>
    <row r="8" spans="1:6" ht="13.5" customHeight="1">
      <c r="A8" s="55" t="str">
        <f>HYPERLINK("#DocDisbursements!B2","Documentation")</f>
        <v>Documentation</v>
      </c>
      <c r="B8" s="71"/>
      <c r="C8" s="85"/>
      <c r="D8" s="74"/>
      <c r="E8" s="77"/>
      <c r="F8" s="80"/>
    </row>
    <row r="9" spans="1:6" ht="13.5" customHeight="1">
      <c r="A9" s="44" t="s">
        <v>12</v>
      </c>
      <c r="B9" s="69" t="s">
        <v>178</v>
      </c>
      <c r="C9" s="83" t="s">
        <v>172</v>
      </c>
      <c r="D9" s="72"/>
      <c r="E9" s="75"/>
      <c r="F9" s="78"/>
    </row>
    <row r="10" spans="1:6" ht="13.95" customHeight="1">
      <c r="A10" s="45" t="s">
        <v>25</v>
      </c>
      <c r="B10" s="70"/>
      <c r="C10" s="84"/>
      <c r="D10" s="73"/>
      <c r="E10" s="76"/>
      <c r="F10" s="79"/>
    </row>
    <row r="11" spans="1:6" ht="13.05" customHeight="1">
      <c r="A11" s="45" t="s">
        <v>19</v>
      </c>
      <c r="B11" s="70"/>
      <c r="C11" s="84"/>
      <c r="D11" s="73"/>
      <c r="E11" s="76"/>
      <c r="F11" s="79"/>
    </row>
    <row r="12" spans="1:6" ht="14.55" customHeight="1">
      <c r="A12" s="55" t="str">
        <f>HYPERLINK("#DocDisbursements!B2","Documentation")</f>
        <v>Documentation</v>
      </c>
      <c r="B12" s="71"/>
      <c r="C12" s="85"/>
      <c r="D12" s="74"/>
      <c r="E12" s="77"/>
      <c r="F12" s="80"/>
    </row>
    <row r="13" spans="1:6" ht="13.5" customHeight="1">
      <c r="A13" s="44" t="s">
        <v>39</v>
      </c>
      <c r="B13" s="69" t="s">
        <v>29</v>
      </c>
      <c r="C13" s="83" t="s">
        <v>179</v>
      </c>
      <c r="D13" s="72"/>
      <c r="E13" s="75"/>
      <c r="F13" s="78"/>
    </row>
    <row r="14" spans="1:6" ht="13.95" customHeight="1">
      <c r="A14" s="45" t="s">
        <v>25</v>
      </c>
      <c r="B14" s="70"/>
      <c r="C14" s="84"/>
      <c r="D14" s="73"/>
      <c r="E14" s="76"/>
      <c r="F14" s="79"/>
    </row>
    <row r="15" spans="1:6" ht="13.05" customHeight="1">
      <c r="A15" s="45" t="s">
        <v>19</v>
      </c>
      <c r="B15" s="70"/>
      <c r="C15" s="84"/>
      <c r="D15" s="73"/>
      <c r="E15" s="76"/>
      <c r="F15" s="79"/>
    </row>
    <row r="16" spans="1:6" ht="14.55" customHeight="1">
      <c r="A16" s="55" t="str">
        <f>HYPERLINK("#DocDisbursements!B2","Documentation")</f>
        <v>Documentation</v>
      </c>
      <c r="B16" s="71"/>
      <c r="C16" s="85"/>
      <c r="D16" s="74"/>
      <c r="E16" s="77"/>
      <c r="F16" s="80"/>
    </row>
    <row r="17" spans="1:6" ht="13.5" customHeight="1">
      <c r="A17" s="44" t="s">
        <v>40</v>
      </c>
      <c r="B17" s="69" t="s">
        <v>29</v>
      </c>
      <c r="C17" s="83" t="s">
        <v>180</v>
      </c>
      <c r="D17" s="72"/>
      <c r="E17" s="75"/>
      <c r="F17" s="78"/>
    </row>
    <row r="18" spans="1:6" ht="13.95" customHeight="1">
      <c r="A18" s="45" t="s">
        <v>25</v>
      </c>
      <c r="B18" s="70"/>
      <c r="C18" s="84"/>
      <c r="D18" s="73"/>
      <c r="E18" s="76"/>
      <c r="F18" s="79"/>
    </row>
    <row r="19" spans="1:6" ht="13.05" customHeight="1">
      <c r="A19" s="45" t="s">
        <v>19</v>
      </c>
      <c r="B19" s="70"/>
      <c r="C19" s="84"/>
      <c r="D19" s="73"/>
      <c r="E19" s="76"/>
      <c r="F19" s="79"/>
    </row>
    <row r="20" spans="1:6" ht="13.95" customHeight="1">
      <c r="A20" s="55" t="str">
        <f>HYPERLINK("#DocDisbursements!B2","Documentation")</f>
        <v>Documentation</v>
      </c>
      <c r="B20" s="71"/>
      <c r="C20" s="85"/>
      <c r="D20" s="74"/>
      <c r="E20" s="77"/>
      <c r="F20" s="80"/>
    </row>
    <row r="21" spans="1:6">
      <c r="A21" s="82" t="s">
        <v>41</v>
      </c>
      <c r="B21" s="82"/>
      <c r="C21" s="82"/>
      <c r="D21" s="82"/>
      <c r="E21" s="40"/>
      <c r="F21" s="14"/>
    </row>
    <row r="22" spans="1:6" ht="13.5" customHeight="1">
      <c r="A22" s="44" t="s">
        <v>17</v>
      </c>
      <c r="B22" s="69" t="s">
        <v>75</v>
      </c>
      <c r="C22" s="72" t="s">
        <v>44</v>
      </c>
      <c r="D22" s="72"/>
      <c r="E22" s="75"/>
      <c r="F22" s="78"/>
    </row>
    <row r="23" spans="1:6" ht="13.95" customHeight="1">
      <c r="A23" s="45" t="s">
        <v>74</v>
      </c>
      <c r="B23" s="70"/>
      <c r="C23" s="73"/>
      <c r="D23" s="73"/>
      <c r="E23" s="76"/>
      <c r="F23" s="79"/>
    </row>
    <row r="24" spans="1:6" ht="13.05" customHeight="1">
      <c r="A24" s="45" t="s">
        <v>19</v>
      </c>
      <c r="B24" s="70"/>
      <c r="C24" s="73"/>
      <c r="D24" s="73"/>
      <c r="E24" s="76"/>
      <c r="F24" s="79"/>
    </row>
    <row r="25" spans="1:6" ht="13.95" customHeight="1">
      <c r="A25" s="55" t="str">
        <f>HYPERLINK("#DocDisbursements!B3","Documentation")</f>
        <v>Documentation</v>
      </c>
      <c r="B25" s="71"/>
      <c r="C25" s="74"/>
      <c r="D25" s="74"/>
      <c r="E25" s="77"/>
      <c r="F25" s="80"/>
    </row>
    <row r="26" spans="1:6" ht="13.5" customHeight="1">
      <c r="A26" s="44" t="s">
        <v>22</v>
      </c>
      <c r="B26" s="69" t="s">
        <v>47</v>
      </c>
      <c r="C26" s="72" t="s">
        <v>48</v>
      </c>
      <c r="D26" s="72"/>
      <c r="E26" s="75"/>
      <c r="F26" s="78"/>
    </row>
    <row r="27" spans="1:6" ht="13.95" customHeight="1">
      <c r="A27" s="45" t="s">
        <v>74</v>
      </c>
      <c r="B27" s="70"/>
      <c r="C27" s="73"/>
      <c r="D27" s="73"/>
      <c r="E27" s="76"/>
      <c r="F27" s="79"/>
    </row>
    <row r="28" spans="1:6" ht="13.05" customHeight="1">
      <c r="A28" s="45" t="s">
        <v>19</v>
      </c>
      <c r="B28" s="70"/>
      <c r="C28" s="73"/>
      <c r="D28" s="73"/>
      <c r="E28" s="76"/>
      <c r="F28" s="79"/>
    </row>
    <row r="29" spans="1:6" ht="13.95" customHeight="1">
      <c r="A29" s="55" t="str">
        <f>HYPERLINK("#DocDisbursements!B3","Documentation")</f>
        <v>Documentation</v>
      </c>
      <c r="B29" s="71"/>
      <c r="C29" s="74"/>
      <c r="D29" s="74"/>
      <c r="E29" s="77"/>
      <c r="F29" s="80"/>
    </row>
    <row r="30" spans="1:6" ht="13.5" customHeight="1">
      <c r="A30" s="44" t="s">
        <v>24</v>
      </c>
      <c r="B30" s="69" t="s">
        <v>49</v>
      </c>
      <c r="C30" s="72" t="s">
        <v>50</v>
      </c>
      <c r="D30" s="72"/>
      <c r="E30" s="75"/>
      <c r="F30" s="78"/>
    </row>
    <row r="31" spans="1:6" ht="13.95" customHeight="1">
      <c r="A31" s="45" t="s">
        <v>74</v>
      </c>
      <c r="B31" s="70"/>
      <c r="C31" s="73"/>
      <c r="D31" s="73"/>
      <c r="E31" s="76"/>
      <c r="F31" s="79"/>
    </row>
    <row r="32" spans="1:6" ht="13.05" customHeight="1">
      <c r="A32" s="45" t="s">
        <v>19</v>
      </c>
      <c r="B32" s="70"/>
      <c r="C32" s="73"/>
      <c r="D32" s="73"/>
      <c r="E32" s="76"/>
      <c r="F32" s="79"/>
    </row>
    <row r="33" spans="1:6" ht="13.95" customHeight="1">
      <c r="A33" s="55" t="str">
        <f>HYPERLINK("#DocDisbursements!B3","Documentation")</f>
        <v>Documentation</v>
      </c>
      <c r="B33" s="71"/>
      <c r="C33" s="74"/>
      <c r="D33" s="74"/>
      <c r="E33" s="77"/>
      <c r="F33" s="80"/>
    </row>
    <row r="34" spans="1:6" ht="13.5" customHeight="1">
      <c r="A34" s="44" t="s">
        <v>27</v>
      </c>
      <c r="B34" s="69" t="s">
        <v>51</v>
      </c>
      <c r="C34" s="72" t="s">
        <v>76</v>
      </c>
      <c r="D34" s="72"/>
      <c r="E34" s="75"/>
      <c r="F34" s="78"/>
    </row>
    <row r="35" spans="1:6" ht="13.95" customHeight="1">
      <c r="A35" s="45" t="s">
        <v>74</v>
      </c>
      <c r="B35" s="70"/>
      <c r="C35" s="73"/>
      <c r="D35" s="73"/>
      <c r="E35" s="76"/>
      <c r="F35" s="79"/>
    </row>
    <row r="36" spans="1:6" ht="13.05" customHeight="1">
      <c r="A36" s="45" t="s">
        <v>19</v>
      </c>
      <c r="B36" s="70"/>
      <c r="C36" s="73"/>
      <c r="D36" s="73"/>
      <c r="E36" s="76"/>
      <c r="F36" s="79"/>
    </row>
    <row r="37" spans="1:6" ht="13.95" customHeight="1">
      <c r="A37" s="55" t="str">
        <f>HYPERLINK("#DocDisbursements!B3","Documentation")</f>
        <v>Documentation</v>
      </c>
      <c r="B37" s="71"/>
      <c r="C37" s="74"/>
      <c r="D37" s="74"/>
      <c r="E37" s="77"/>
      <c r="F37" s="80"/>
    </row>
    <row r="38" spans="1:6" ht="13.5" customHeight="1">
      <c r="A38" s="44" t="s">
        <v>28</v>
      </c>
      <c r="B38" s="69" t="s">
        <v>53</v>
      </c>
      <c r="C38" s="72" t="s">
        <v>54</v>
      </c>
      <c r="D38" s="72"/>
      <c r="E38" s="75"/>
      <c r="F38" s="78"/>
    </row>
    <row r="39" spans="1:6" ht="13.95" customHeight="1">
      <c r="A39" s="45" t="s">
        <v>74</v>
      </c>
      <c r="B39" s="70"/>
      <c r="C39" s="73"/>
      <c r="D39" s="73"/>
      <c r="E39" s="76"/>
      <c r="F39" s="79"/>
    </row>
    <row r="40" spans="1:6" ht="13.05" customHeight="1">
      <c r="A40" s="45" t="s">
        <v>19</v>
      </c>
      <c r="B40" s="70"/>
      <c r="C40" s="73"/>
      <c r="D40" s="73"/>
      <c r="E40" s="76"/>
      <c r="F40" s="79"/>
    </row>
    <row r="41" spans="1:6" ht="13.95" customHeight="1">
      <c r="A41" s="55" t="str">
        <f>HYPERLINK("#DocDisbursements!B3","Documentation")</f>
        <v>Documentation</v>
      </c>
      <c r="B41" s="71"/>
      <c r="C41" s="74"/>
      <c r="D41" s="74"/>
      <c r="E41" s="77"/>
      <c r="F41" s="80"/>
    </row>
    <row r="42" spans="1:6" ht="13.5" customHeight="1">
      <c r="A42" s="44" t="s">
        <v>30</v>
      </c>
      <c r="B42" s="69" t="s">
        <v>55</v>
      </c>
      <c r="C42" s="72" t="s">
        <v>56</v>
      </c>
      <c r="D42" s="72"/>
      <c r="E42" s="75"/>
      <c r="F42" s="78"/>
    </row>
    <row r="43" spans="1:6" ht="13.95" customHeight="1">
      <c r="A43" s="45" t="s">
        <v>74</v>
      </c>
      <c r="B43" s="70"/>
      <c r="C43" s="73"/>
      <c r="D43" s="73"/>
      <c r="E43" s="76"/>
      <c r="F43" s="79"/>
    </row>
    <row r="44" spans="1:6" ht="13.05" customHeight="1">
      <c r="A44" s="45" t="s">
        <v>19</v>
      </c>
      <c r="B44" s="70"/>
      <c r="C44" s="73"/>
      <c r="D44" s="73"/>
      <c r="E44" s="76"/>
      <c r="F44" s="79"/>
    </row>
    <row r="45" spans="1:6" ht="13.95" customHeight="1">
      <c r="A45" s="55" t="str">
        <f>HYPERLINK("#DocDisbursements!B3","Documentation")</f>
        <v>Documentation</v>
      </c>
      <c r="B45" s="71"/>
      <c r="C45" s="74"/>
      <c r="D45" s="74"/>
      <c r="E45" s="77"/>
      <c r="F45" s="80"/>
    </row>
    <row r="46" spans="1:6" ht="13.5" customHeight="1">
      <c r="A46" s="44" t="s">
        <v>31</v>
      </c>
      <c r="B46" s="69" t="s">
        <v>57</v>
      </c>
      <c r="C46" s="72" t="s">
        <v>58</v>
      </c>
      <c r="D46" s="72"/>
      <c r="E46" s="75"/>
      <c r="F46" s="78"/>
    </row>
    <row r="47" spans="1:6" ht="13.95" customHeight="1">
      <c r="A47" s="45" t="s">
        <v>74</v>
      </c>
      <c r="B47" s="70"/>
      <c r="C47" s="73"/>
      <c r="D47" s="73"/>
      <c r="E47" s="76"/>
      <c r="F47" s="79"/>
    </row>
    <row r="48" spans="1:6" ht="13.05" customHeight="1">
      <c r="A48" s="45" t="s">
        <v>19</v>
      </c>
      <c r="B48" s="70"/>
      <c r="C48" s="73"/>
      <c r="D48" s="73"/>
      <c r="E48" s="76"/>
      <c r="F48" s="79"/>
    </row>
    <row r="49" spans="1:6" ht="13.95" customHeight="1">
      <c r="A49" s="55" t="str">
        <f>HYPERLINK("#DocDisbursements!B3","Documentation")</f>
        <v>Documentation</v>
      </c>
      <c r="B49" s="71"/>
      <c r="C49" s="74"/>
      <c r="D49" s="74"/>
      <c r="E49" s="77"/>
      <c r="F49" s="80"/>
    </row>
    <row r="50" spans="1:6" ht="13.5" customHeight="1">
      <c r="A50" s="44" t="s">
        <v>32</v>
      </c>
      <c r="B50" s="69" t="s">
        <v>59</v>
      </c>
      <c r="C50" s="72" t="s">
        <v>60</v>
      </c>
      <c r="D50" s="72"/>
      <c r="E50" s="75"/>
      <c r="F50" s="78"/>
    </row>
    <row r="51" spans="1:6" ht="13.95" customHeight="1">
      <c r="A51" s="45" t="s">
        <v>74</v>
      </c>
      <c r="B51" s="70"/>
      <c r="C51" s="73"/>
      <c r="D51" s="73"/>
      <c r="E51" s="76"/>
      <c r="F51" s="79"/>
    </row>
    <row r="52" spans="1:6" ht="13.05" customHeight="1">
      <c r="A52" s="45" t="s">
        <v>19</v>
      </c>
      <c r="B52" s="70"/>
      <c r="C52" s="73"/>
      <c r="D52" s="73"/>
      <c r="E52" s="76"/>
      <c r="F52" s="79"/>
    </row>
    <row r="53" spans="1:6" ht="13.95" customHeight="1">
      <c r="A53" s="55" t="str">
        <f>HYPERLINK("#DocDisbursements!B3","Documentation")</f>
        <v>Documentation</v>
      </c>
      <c r="B53" s="71"/>
      <c r="C53" s="74"/>
      <c r="D53" s="74"/>
      <c r="E53" s="77"/>
      <c r="F53" s="80"/>
    </row>
    <row r="54" spans="1:6" ht="13.5" customHeight="1">
      <c r="A54" s="44" t="s">
        <v>33</v>
      </c>
      <c r="B54" s="69" t="s">
        <v>61</v>
      </c>
      <c r="C54" s="72" t="s">
        <v>62</v>
      </c>
      <c r="D54" s="72"/>
      <c r="E54" s="75"/>
      <c r="F54" s="78"/>
    </row>
    <row r="55" spans="1:6" ht="13.95" customHeight="1">
      <c r="A55" s="45" t="s">
        <v>74</v>
      </c>
      <c r="B55" s="70"/>
      <c r="C55" s="73"/>
      <c r="D55" s="73"/>
      <c r="E55" s="76"/>
      <c r="F55" s="79"/>
    </row>
    <row r="56" spans="1:6" ht="13.05" customHeight="1">
      <c r="A56" s="45" t="s">
        <v>19</v>
      </c>
      <c r="B56" s="70"/>
      <c r="C56" s="73"/>
      <c r="D56" s="73"/>
      <c r="E56" s="76"/>
      <c r="F56" s="79"/>
    </row>
    <row r="57" spans="1:6" ht="13.95" customHeight="1">
      <c r="A57" s="55" t="str">
        <f>HYPERLINK("#DocDisbursements!B3","Documentation")</f>
        <v>Documentation</v>
      </c>
      <c r="B57" s="71"/>
      <c r="C57" s="74"/>
      <c r="D57" s="74"/>
      <c r="E57" s="77"/>
      <c r="F57" s="80"/>
    </row>
    <row r="58" spans="1:6">
      <c r="A58" s="46"/>
      <c r="B58" s="4"/>
      <c r="C58" s="4"/>
      <c r="D58" s="6"/>
      <c r="E58" s="5"/>
      <c r="F58" s="2"/>
    </row>
    <row r="59" spans="1:6" ht="13.5" customHeight="1">
      <c r="A59" s="47" t="s">
        <v>34</v>
      </c>
      <c r="B59" s="69" t="s">
        <v>65</v>
      </c>
      <c r="C59" s="72" t="s">
        <v>44</v>
      </c>
      <c r="D59" s="72" t="s">
        <v>181</v>
      </c>
      <c r="E59" s="75"/>
      <c r="F59" s="78"/>
    </row>
    <row r="60" spans="1:6" ht="13.95" customHeight="1">
      <c r="A60" s="45" t="s">
        <v>74</v>
      </c>
      <c r="B60" s="70"/>
      <c r="C60" s="73"/>
      <c r="D60" s="73"/>
      <c r="E60" s="76"/>
      <c r="F60" s="79"/>
    </row>
    <row r="61" spans="1:6" ht="13.05" customHeight="1">
      <c r="A61" s="45" t="s">
        <v>64</v>
      </c>
      <c r="B61" s="70"/>
      <c r="C61" s="73"/>
      <c r="D61" s="73"/>
      <c r="E61" s="76"/>
      <c r="F61" s="79"/>
    </row>
    <row r="62" spans="1:6" ht="13.95" customHeight="1">
      <c r="A62" s="55" t="str">
        <f>HYPERLINK("#DocDisbursements!B4","Documentation")</f>
        <v>Documentation</v>
      </c>
      <c r="B62" s="71"/>
      <c r="C62" s="74"/>
      <c r="D62" s="74"/>
      <c r="E62" s="77"/>
      <c r="F62" s="80"/>
    </row>
    <row r="63" spans="1:6" ht="13.5" customHeight="1">
      <c r="A63" s="47" t="s">
        <v>36</v>
      </c>
      <c r="B63" s="69" t="s">
        <v>68</v>
      </c>
      <c r="C63" s="72" t="s">
        <v>69</v>
      </c>
      <c r="D63" s="72" t="s">
        <v>181</v>
      </c>
      <c r="E63" s="75"/>
      <c r="F63" s="78"/>
    </row>
    <row r="64" spans="1:6" ht="13.95" customHeight="1">
      <c r="A64" s="45" t="s">
        <v>74</v>
      </c>
      <c r="B64" s="70"/>
      <c r="C64" s="73"/>
      <c r="D64" s="73"/>
      <c r="E64" s="76"/>
      <c r="F64" s="79"/>
    </row>
    <row r="65" spans="1:6" ht="13.05" customHeight="1">
      <c r="A65" s="45" t="s">
        <v>64</v>
      </c>
      <c r="B65" s="70"/>
      <c r="C65" s="73"/>
      <c r="D65" s="73"/>
      <c r="E65" s="76"/>
      <c r="F65" s="79"/>
    </row>
    <row r="66" spans="1:6" ht="13.95" customHeight="1">
      <c r="A66" s="55" t="str">
        <f>HYPERLINK("#DocDisbursements!B4","Documentation")</f>
        <v>Documentation</v>
      </c>
      <c r="B66" s="71"/>
      <c r="C66" s="74"/>
      <c r="D66" s="74"/>
      <c r="E66" s="77"/>
      <c r="F66" s="80"/>
    </row>
    <row r="67" spans="1:6" ht="13.5" customHeight="1">
      <c r="A67" s="47" t="s">
        <v>63</v>
      </c>
      <c r="B67" s="69" t="s">
        <v>71</v>
      </c>
      <c r="C67" s="72" t="s">
        <v>58</v>
      </c>
      <c r="D67" s="72" t="s">
        <v>181</v>
      </c>
      <c r="E67" s="75"/>
      <c r="F67" s="78"/>
    </row>
    <row r="68" spans="1:6" ht="13.95" customHeight="1">
      <c r="A68" s="45" t="s">
        <v>74</v>
      </c>
      <c r="B68" s="70"/>
      <c r="C68" s="73"/>
      <c r="D68" s="73"/>
      <c r="E68" s="76"/>
      <c r="F68" s="79"/>
    </row>
    <row r="69" spans="1:6" ht="13.05" customHeight="1">
      <c r="A69" s="45" t="s">
        <v>64</v>
      </c>
      <c r="B69" s="70"/>
      <c r="C69" s="73"/>
      <c r="D69" s="73"/>
      <c r="E69" s="76"/>
      <c r="F69" s="79"/>
    </row>
    <row r="70" spans="1:6" ht="13.95" customHeight="1">
      <c r="A70" s="55" t="str">
        <f>HYPERLINK("#DocDisbursements!B4","Documentation")</f>
        <v>Documentation</v>
      </c>
      <c r="B70" s="71"/>
      <c r="C70" s="74"/>
      <c r="D70" s="74"/>
      <c r="E70" s="77"/>
      <c r="F70" s="80"/>
    </row>
    <row r="71" spans="1:6" ht="13.5" customHeight="1">
      <c r="A71" s="47" t="s">
        <v>67</v>
      </c>
      <c r="B71" s="69" t="s">
        <v>59</v>
      </c>
      <c r="C71" s="72" t="s">
        <v>60</v>
      </c>
      <c r="D71" s="72" t="s">
        <v>181</v>
      </c>
      <c r="E71" s="75"/>
      <c r="F71" s="78"/>
    </row>
    <row r="72" spans="1:6" ht="13.95" customHeight="1">
      <c r="A72" s="45" t="s">
        <v>74</v>
      </c>
      <c r="B72" s="70"/>
      <c r="C72" s="73"/>
      <c r="D72" s="73"/>
      <c r="E72" s="76"/>
      <c r="F72" s="79"/>
    </row>
    <row r="73" spans="1:6" ht="13.05" customHeight="1">
      <c r="A73" s="45" t="s">
        <v>64</v>
      </c>
      <c r="B73" s="70"/>
      <c r="C73" s="73"/>
      <c r="D73" s="73"/>
      <c r="E73" s="76"/>
      <c r="F73" s="79"/>
    </row>
    <row r="74" spans="1:6" ht="13.95" customHeight="1">
      <c r="A74" s="55" t="str">
        <f>HYPERLINK("#DocDisbursements!B4","Documentation")</f>
        <v>Documentation</v>
      </c>
      <c r="B74" s="71"/>
      <c r="C74" s="74"/>
      <c r="D74" s="74"/>
      <c r="E74" s="77"/>
      <c r="F74" s="80"/>
    </row>
    <row r="75" spans="1:6" ht="13.5" customHeight="1">
      <c r="A75" s="47" t="s">
        <v>70</v>
      </c>
      <c r="B75" s="69" t="s">
        <v>61</v>
      </c>
      <c r="C75" s="72" t="s">
        <v>62</v>
      </c>
      <c r="D75" s="72" t="s">
        <v>181</v>
      </c>
      <c r="E75" s="75"/>
      <c r="F75" s="78"/>
    </row>
    <row r="76" spans="1:6" ht="13.95" customHeight="1">
      <c r="A76" s="45" t="s">
        <v>74</v>
      </c>
      <c r="B76" s="70"/>
      <c r="C76" s="73"/>
      <c r="D76" s="73"/>
      <c r="E76" s="76"/>
      <c r="F76" s="79"/>
    </row>
    <row r="77" spans="1:6" ht="13.05" customHeight="1">
      <c r="A77" s="45" t="s">
        <v>64</v>
      </c>
      <c r="B77" s="70"/>
      <c r="C77" s="73"/>
      <c r="D77" s="73"/>
      <c r="E77" s="76"/>
      <c r="F77" s="79"/>
    </row>
    <row r="78" spans="1:6" ht="13.95" customHeight="1">
      <c r="A78" s="55" t="str">
        <f>HYPERLINK("#DocDisbursements!B4","Documentation")</f>
        <v>Documentation</v>
      </c>
      <c r="B78" s="71"/>
      <c r="C78" s="74"/>
      <c r="D78" s="74"/>
      <c r="E78" s="77"/>
      <c r="F78" s="80"/>
    </row>
    <row r="79" spans="1:6">
      <c r="A79" s="46"/>
      <c r="B79" s="4"/>
      <c r="C79" s="4"/>
      <c r="D79" s="6"/>
      <c r="E79" s="5"/>
      <c r="F79" s="2"/>
    </row>
    <row r="80" spans="1:6" ht="13.5" customHeight="1">
      <c r="A80" s="47" t="s">
        <v>72</v>
      </c>
      <c r="B80" s="69" t="s">
        <v>165</v>
      </c>
      <c r="C80" s="72" t="s">
        <v>164</v>
      </c>
      <c r="D80" s="72" t="s">
        <v>181</v>
      </c>
      <c r="E80" s="75"/>
      <c r="F80" s="78"/>
    </row>
    <row r="81" spans="1:6" ht="13.95" customHeight="1">
      <c r="A81" s="45" t="s">
        <v>35</v>
      </c>
      <c r="B81" s="70"/>
      <c r="C81" s="73"/>
      <c r="D81" s="73"/>
      <c r="E81" s="76"/>
      <c r="F81" s="79"/>
    </row>
    <row r="82" spans="1:6" ht="13.05" customHeight="1">
      <c r="A82" s="45" t="s">
        <v>19</v>
      </c>
      <c r="B82" s="70"/>
      <c r="C82" s="73"/>
      <c r="D82" s="73"/>
      <c r="E82" s="76"/>
      <c r="F82" s="79"/>
    </row>
    <row r="83" spans="1:6" ht="13.95" customHeight="1">
      <c r="A83" s="55" t="str">
        <f>HYPERLINK("#DocDisbursements!B3","Documentation")</f>
        <v>Documentation</v>
      </c>
      <c r="B83" s="71"/>
      <c r="C83" s="74"/>
      <c r="D83" s="74"/>
      <c r="E83" s="77"/>
      <c r="F83" s="80"/>
    </row>
    <row r="84" spans="1:6" ht="13.5" customHeight="1">
      <c r="A84" s="47" t="s">
        <v>73</v>
      </c>
      <c r="B84" s="69" t="s">
        <v>166</v>
      </c>
      <c r="C84" s="72" t="s">
        <v>167</v>
      </c>
      <c r="D84" s="72" t="s">
        <v>181</v>
      </c>
      <c r="E84" s="75"/>
      <c r="F84" s="78"/>
    </row>
    <row r="85" spans="1:6" ht="13.95" customHeight="1">
      <c r="A85" s="45" t="s">
        <v>35</v>
      </c>
      <c r="B85" s="70"/>
      <c r="C85" s="73"/>
      <c r="D85" s="73"/>
      <c r="E85" s="76"/>
      <c r="F85" s="79"/>
    </row>
    <row r="86" spans="1:6" ht="13.05" customHeight="1">
      <c r="A86" s="45" t="s">
        <v>19</v>
      </c>
      <c r="B86" s="70"/>
      <c r="C86" s="73"/>
      <c r="D86" s="73"/>
      <c r="E86" s="76"/>
      <c r="F86" s="79"/>
    </row>
    <row r="87" spans="1:6" ht="13.95" customHeight="1">
      <c r="A87" s="55" t="str">
        <f>HYPERLINK("#DocDisbursements!B3","Documentation")</f>
        <v>Documentation</v>
      </c>
      <c r="B87" s="71"/>
      <c r="C87" s="74"/>
      <c r="D87" s="74"/>
      <c r="E87" s="77"/>
      <c r="F87" s="80"/>
    </row>
  </sheetData>
  <mergeCells count="103">
    <mergeCell ref="F5:F8"/>
    <mergeCell ref="B9:B12"/>
    <mergeCell ref="C9:C12"/>
    <mergeCell ref="D9:D12"/>
    <mergeCell ref="E9:E12"/>
    <mergeCell ref="F9:F12"/>
    <mergeCell ref="B1:C1"/>
    <mergeCell ref="A4:D4"/>
    <mergeCell ref="B5:B8"/>
    <mergeCell ref="C5:C8"/>
    <mergeCell ref="D5:D8"/>
    <mergeCell ref="E5:E8"/>
    <mergeCell ref="A21:D21"/>
    <mergeCell ref="B22:B25"/>
    <mergeCell ref="C22:C25"/>
    <mergeCell ref="D22:D25"/>
    <mergeCell ref="E22:E25"/>
    <mergeCell ref="F22:F25"/>
    <mergeCell ref="B13:B16"/>
    <mergeCell ref="C13:C16"/>
    <mergeCell ref="D13:D16"/>
    <mergeCell ref="E13:E16"/>
    <mergeCell ref="F13:F16"/>
    <mergeCell ref="B17:B20"/>
    <mergeCell ref="C17:C20"/>
    <mergeCell ref="D17:D20"/>
    <mergeCell ref="E17:E20"/>
    <mergeCell ref="F17:F20"/>
    <mergeCell ref="B26:B29"/>
    <mergeCell ref="C26:C29"/>
    <mergeCell ref="D26:D29"/>
    <mergeCell ref="E26:E29"/>
    <mergeCell ref="F26:F29"/>
    <mergeCell ref="B30:B33"/>
    <mergeCell ref="C30:C33"/>
    <mergeCell ref="D30:D33"/>
    <mergeCell ref="E30:E33"/>
    <mergeCell ref="F30:F33"/>
    <mergeCell ref="B34:B37"/>
    <mergeCell ref="C34:C37"/>
    <mergeCell ref="D34:D37"/>
    <mergeCell ref="E34:E37"/>
    <mergeCell ref="F34:F37"/>
    <mergeCell ref="B38:B41"/>
    <mergeCell ref="C38:C41"/>
    <mergeCell ref="D38:D41"/>
    <mergeCell ref="E38:E41"/>
    <mergeCell ref="F38:F41"/>
    <mergeCell ref="B42:B45"/>
    <mergeCell ref="C42:C45"/>
    <mergeCell ref="D42:D45"/>
    <mergeCell ref="E42:E45"/>
    <mergeCell ref="F42:F45"/>
    <mergeCell ref="B46:B49"/>
    <mergeCell ref="C46:C49"/>
    <mergeCell ref="D46:D49"/>
    <mergeCell ref="E46:E49"/>
    <mergeCell ref="F46:F49"/>
    <mergeCell ref="B50:B53"/>
    <mergeCell ref="C50:C53"/>
    <mergeCell ref="D50:D53"/>
    <mergeCell ref="E50:E53"/>
    <mergeCell ref="F50:F53"/>
    <mergeCell ref="B54:B57"/>
    <mergeCell ref="C54:C57"/>
    <mergeCell ref="D54:D57"/>
    <mergeCell ref="E54:E57"/>
    <mergeCell ref="F54:F57"/>
    <mergeCell ref="B59:B62"/>
    <mergeCell ref="C59:C62"/>
    <mergeCell ref="D59:D62"/>
    <mergeCell ref="E59:E62"/>
    <mergeCell ref="F59:F62"/>
    <mergeCell ref="B63:B66"/>
    <mergeCell ref="C63:C66"/>
    <mergeCell ref="D63:D66"/>
    <mergeCell ref="E63:E66"/>
    <mergeCell ref="F63:F66"/>
    <mergeCell ref="B67:B70"/>
    <mergeCell ref="C67:C70"/>
    <mergeCell ref="D67:D70"/>
    <mergeCell ref="E67:E70"/>
    <mergeCell ref="F67:F70"/>
    <mergeCell ref="B71:B74"/>
    <mergeCell ref="C71:C74"/>
    <mergeCell ref="D71:D74"/>
    <mergeCell ref="E71:E74"/>
    <mergeCell ref="F71:F74"/>
    <mergeCell ref="B84:B87"/>
    <mergeCell ref="C84:C87"/>
    <mergeCell ref="D84:D87"/>
    <mergeCell ref="E84:E87"/>
    <mergeCell ref="F84:F87"/>
    <mergeCell ref="B75:B78"/>
    <mergeCell ref="C75:C78"/>
    <mergeCell ref="D75:D78"/>
    <mergeCell ref="E75:E78"/>
    <mergeCell ref="F75:F78"/>
    <mergeCell ref="B80:B83"/>
    <mergeCell ref="C80:C83"/>
    <mergeCell ref="D80:D83"/>
    <mergeCell ref="E80:E83"/>
    <mergeCell ref="F80:F83"/>
  </mergeCells>
  <printOptions gridLines="1"/>
  <pageMargins left="0.7" right="0.7" top="0.75" bottom="0.75" header="0.3" footer="0.3"/>
  <pageSetup fitToHeight="0" orientation="landscape" horizontalDpi="90" verticalDpi="90" r:id="rId1"/>
  <headerFooter>
    <oddFooter>&amp;L_x000D_&amp;1#&amp;"Calibri"&amp;10&amp;K000000 Sensitivity: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55"/>
  <sheetViews>
    <sheetView topLeftCell="A22" zoomScaleNormal="100" zoomScaleSheetLayoutView="100" workbookViewId="0">
      <selection activeCell="C10" sqref="C10:C14"/>
    </sheetView>
  </sheetViews>
  <sheetFormatPr defaultColWidth="9" defaultRowHeight="12"/>
  <cols>
    <col min="1" max="1" width="18.44140625" style="11" customWidth="1"/>
    <col min="2" max="2" width="21.44140625" style="11" customWidth="1"/>
    <col min="3" max="3" width="37.6640625" style="11" customWidth="1"/>
    <col min="4" max="4" width="41.109375" style="11" customWidth="1"/>
    <col min="5" max="5" width="26.77734375" style="11" customWidth="1"/>
    <col min="6" max="16384" width="9" style="11"/>
  </cols>
  <sheetData>
    <row r="1" spans="1:5">
      <c r="A1" s="9"/>
      <c r="B1" s="60" t="s">
        <v>187</v>
      </c>
      <c r="C1" s="60"/>
      <c r="D1" s="9"/>
      <c r="E1" s="56"/>
    </row>
    <row r="2" spans="1:5">
      <c r="B2" s="12"/>
      <c r="C2" s="12"/>
    </row>
    <row r="3" spans="1:5" ht="27.45" customHeight="1">
      <c r="A3" s="21" t="s">
        <v>1</v>
      </c>
      <c r="B3" s="10" t="s">
        <v>2</v>
      </c>
      <c r="C3" s="10" t="s">
        <v>3</v>
      </c>
      <c r="D3" s="22" t="s">
        <v>5</v>
      </c>
      <c r="E3" s="10" t="s">
        <v>6</v>
      </c>
    </row>
    <row r="4" spans="1:5">
      <c r="A4" s="61" t="s">
        <v>38</v>
      </c>
      <c r="B4" s="61"/>
      <c r="C4" s="61"/>
      <c r="D4" s="61"/>
      <c r="E4" s="14"/>
    </row>
    <row r="5" spans="1:5" ht="14.55" customHeight="1">
      <c r="A5" s="51" t="s">
        <v>8</v>
      </c>
      <c r="B5" s="86" t="s">
        <v>26</v>
      </c>
      <c r="C5" s="89" t="s">
        <v>174</v>
      </c>
      <c r="D5" s="92"/>
      <c r="E5" s="95"/>
    </row>
    <row r="6" spans="1:5">
      <c r="A6" s="49" t="s">
        <v>25</v>
      </c>
      <c r="B6" s="87"/>
      <c r="C6" s="90"/>
      <c r="D6" s="93"/>
      <c r="E6" s="96"/>
    </row>
    <row r="7" spans="1:5">
      <c r="A7" s="52" t="s">
        <v>19</v>
      </c>
      <c r="B7" s="87"/>
      <c r="C7" s="90"/>
      <c r="D7" s="93"/>
      <c r="E7" s="96"/>
    </row>
    <row r="8" spans="1:5">
      <c r="A8" s="53" t="str">
        <f>HYPERLINK("#DocCollections!B2","Doc - Collections")</f>
        <v>Doc - Collections</v>
      </c>
      <c r="B8" s="87"/>
      <c r="C8" s="90"/>
      <c r="D8" s="93"/>
      <c r="E8" s="96"/>
    </row>
    <row r="9" spans="1:5">
      <c r="A9" s="54" t="str">
        <f>HYPERLINK("#DocDisbursements!B2","Doc - Disbursements")</f>
        <v>Doc - Disbursements</v>
      </c>
      <c r="B9" s="88"/>
      <c r="C9" s="91"/>
      <c r="D9" s="94"/>
      <c r="E9" s="97"/>
    </row>
    <row r="10" spans="1:5" ht="14.55" customHeight="1">
      <c r="A10" s="51" t="s">
        <v>12</v>
      </c>
      <c r="B10" s="86" t="s">
        <v>178</v>
      </c>
      <c r="C10" s="89" t="s">
        <v>175</v>
      </c>
      <c r="D10" s="92"/>
      <c r="E10" s="95"/>
    </row>
    <row r="11" spans="1:5">
      <c r="A11" s="49" t="s">
        <v>25</v>
      </c>
      <c r="B11" s="87"/>
      <c r="C11" s="90"/>
      <c r="D11" s="93"/>
      <c r="E11" s="96"/>
    </row>
    <row r="12" spans="1:5">
      <c r="A12" s="52" t="s">
        <v>19</v>
      </c>
      <c r="B12" s="87"/>
      <c r="C12" s="90"/>
      <c r="D12" s="93"/>
      <c r="E12" s="96"/>
    </row>
    <row r="13" spans="1:5">
      <c r="A13" s="53" t="str">
        <f>HYPERLINK("#DocCollections!B2","Doc - Collections")</f>
        <v>Doc - Collections</v>
      </c>
      <c r="B13" s="87"/>
      <c r="C13" s="90"/>
      <c r="D13" s="93"/>
      <c r="E13" s="96"/>
    </row>
    <row r="14" spans="1:5">
      <c r="A14" s="54" t="str">
        <f>HYPERLINK("#DocDisbursements!B2","Doc - Disbursements")</f>
        <v>Doc - Disbursements</v>
      </c>
      <c r="B14" s="88"/>
      <c r="C14" s="91"/>
      <c r="D14" s="94"/>
      <c r="E14" s="97"/>
    </row>
    <row r="15" spans="1:5" ht="14.55" customHeight="1">
      <c r="A15" s="51" t="s">
        <v>39</v>
      </c>
      <c r="B15" s="86" t="s">
        <v>29</v>
      </c>
      <c r="C15" s="89" t="s">
        <v>173</v>
      </c>
      <c r="D15" s="92"/>
      <c r="E15" s="95"/>
    </row>
    <row r="16" spans="1:5">
      <c r="A16" s="49" t="s">
        <v>25</v>
      </c>
      <c r="B16" s="87"/>
      <c r="C16" s="90"/>
      <c r="D16" s="93"/>
      <c r="E16" s="96"/>
    </row>
    <row r="17" spans="1:5">
      <c r="A17" s="52" t="s">
        <v>19</v>
      </c>
      <c r="B17" s="87"/>
      <c r="C17" s="90"/>
      <c r="D17" s="93"/>
      <c r="E17" s="96"/>
    </row>
    <row r="18" spans="1:5">
      <c r="A18" s="53" t="str">
        <f>HYPERLINK("#DocCollections!B2","Doc - Collections")</f>
        <v>Doc - Collections</v>
      </c>
      <c r="B18" s="87"/>
      <c r="C18" s="90"/>
      <c r="D18" s="93"/>
      <c r="E18" s="96"/>
    </row>
    <row r="19" spans="1:5">
      <c r="A19" s="54" t="str">
        <f>HYPERLINK("#DocDisbursements!B2","Doc - Disbursements")</f>
        <v>Doc - Disbursements</v>
      </c>
      <c r="B19" s="88"/>
      <c r="C19" s="91"/>
      <c r="D19" s="94"/>
      <c r="E19" s="97"/>
    </row>
    <row r="20" spans="1:5" ht="14.55" customHeight="1">
      <c r="A20" s="51" t="s">
        <v>40</v>
      </c>
      <c r="B20" s="86" t="s">
        <v>29</v>
      </c>
      <c r="C20" s="89" t="s">
        <v>176</v>
      </c>
      <c r="D20" s="92"/>
      <c r="E20" s="95"/>
    </row>
    <row r="21" spans="1:5">
      <c r="A21" s="49" t="s">
        <v>25</v>
      </c>
      <c r="B21" s="87"/>
      <c r="C21" s="90"/>
      <c r="D21" s="93"/>
      <c r="E21" s="96"/>
    </row>
    <row r="22" spans="1:5">
      <c r="A22" s="52" t="s">
        <v>19</v>
      </c>
      <c r="B22" s="87"/>
      <c r="C22" s="90"/>
      <c r="D22" s="93"/>
      <c r="E22" s="96"/>
    </row>
    <row r="23" spans="1:5">
      <c r="A23" s="53" t="str">
        <f>HYPERLINK("#DocCollections!B2","Doc - Collections")</f>
        <v>Doc - Collections</v>
      </c>
      <c r="B23" s="87"/>
      <c r="C23" s="90"/>
      <c r="D23" s="93"/>
      <c r="E23" s="96"/>
    </row>
    <row r="24" spans="1:5">
      <c r="A24" s="54" t="str">
        <f>HYPERLINK("#DocDisbursements!B2","Doc - Disbursements")</f>
        <v>Doc - Disbursements</v>
      </c>
      <c r="B24" s="88"/>
      <c r="C24" s="91"/>
      <c r="D24" s="94"/>
      <c r="E24" s="97"/>
    </row>
    <row r="25" spans="1:5">
      <c r="A25" s="82" t="s">
        <v>41</v>
      </c>
      <c r="B25" s="82"/>
      <c r="C25" s="82"/>
      <c r="D25" s="82"/>
      <c r="E25" s="14"/>
    </row>
    <row r="26" spans="1:5" ht="14.55" customHeight="1">
      <c r="A26" s="51" t="s">
        <v>17</v>
      </c>
      <c r="B26" s="86" t="s">
        <v>65</v>
      </c>
      <c r="C26" s="89" t="s">
        <v>77</v>
      </c>
      <c r="D26" s="92"/>
      <c r="E26" s="95"/>
    </row>
    <row r="27" spans="1:5">
      <c r="A27" s="49" t="s">
        <v>185</v>
      </c>
      <c r="B27" s="87"/>
      <c r="C27" s="90"/>
      <c r="D27" s="93"/>
      <c r="E27" s="96"/>
    </row>
    <row r="28" spans="1:5">
      <c r="A28" s="52" t="s">
        <v>64</v>
      </c>
      <c r="B28" s="87"/>
      <c r="C28" s="90"/>
      <c r="D28" s="93"/>
      <c r="E28" s="96"/>
    </row>
    <row r="29" spans="1:5">
      <c r="A29" s="50" t="str">
        <f>HYPERLINK("#DocCollections!B5","Doc - Collections")</f>
        <v>Doc - Collections</v>
      </c>
      <c r="B29" s="87"/>
      <c r="C29" s="90"/>
      <c r="D29" s="93"/>
      <c r="E29" s="96"/>
    </row>
    <row r="30" spans="1:5">
      <c r="A30" s="48" t="str">
        <f>HYPERLINK("#DocDisbursements!B5","Doc - Disbursements")</f>
        <v>Doc - Disbursements</v>
      </c>
      <c r="B30" s="88"/>
      <c r="C30" s="91"/>
      <c r="D30" s="94"/>
      <c r="E30" s="97"/>
    </row>
    <row r="31" spans="1:5" ht="14.55" customHeight="1">
      <c r="A31" s="51" t="s">
        <v>22</v>
      </c>
      <c r="B31" s="86" t="s">
        <v>78</v>
      </c>
      <c r="C31" s="89" t="s">
        <v>79</v>
      </c>
      <c r="D31" s="92"/>
      <c r="E31" s="95"/>
    </row>
    <row r="32" spans="1:5">
      <c r="A32" s="49" t="s">
        <v>185</v>
      </c>
      <c r="B32" s="87"/>
      <c r="C32" s="90"/>
      <c r="D32" s="93"/>
      <c r="E32" s="96"/>
    </row>
    <row r="33" spans="1:5">
      <c r="A33" s="52" t="s">
        <v>64</v>
      </c>
      <c r="B33" s="87"/>
      <c r="C33" s="90"/>
      <c r="D33" s="93"/>
      <c r="E33" s="96"/>
    </row>
    <row r="34" spans="1:5">
      <c r="A34" s="50" t="str">
        <f>HYPERLINK("#DocCollections!B5","Doc - Collections")</f>
        <v>Doc - Collections</v>
      </c>
      <c r="B34" s="87"/>
      <c r="C34" s="90"/>
      <c r="D34" s="93"/>
      <c r="E34" s="96"/>
    </row>
    <row r="35" spans="1:5">
      <c r="A35" s="48" t="str">
        <f>HYPERLINK("#DocDisbursements!B5","Doc - Disbursements")</f>
        <v>Doc - Disbursements</v>
      </c>
      <c r="B35" s="88"/>
      <c r="C35" s="91"/>
      <c r="D35" s="94"/>
      <c r="E35" s="97"/>
    </row>
    <row r="36" spans="1:5" ht="14.55" customHeight="1">
      <c r="A36" s="51" t="s">
        <v>24</v>
      </c>
      <c r="B36" s="86" t="s">
        <v>80</v>
      </c>
      <c r="C36" s="89" t="s">
        <v>81</v>
      </c>
      <c r="D36" s="92"/>
      <c r="E36" s="95"/>
    </row>
    <row r="37" spans="1:5">
      <c r="A37" s="49" t="s">
        <v>185</v>
      </c>
      <c r="B37" s="87"/>
      <c r="C37" s="90"/>
      <c r="D37" s="93"/>
      <c r="E37" s="96"/>
    </row>
    <row r="38" spans="1:5">
      <c r="A38" s="52" t="s">
        <v>64</v>
      </c>
      <c r="B38" s="87"/>
      <c r="C38" s="90"/>
      <c r="D38" s="93"/>
      <c r="E38" s="96"/>
    </row>
    <row r="39" spans="1:5">
      <c r="A39" s="50" t="str">
        <f>HYPERLINK("#DocCollections!B5","Doc - Collections")</f>
        <v>Doc - Collections</v>
      </c>
      <c r="B39" s="87"/>
      <c r="C39" s="90"/>
      <c r="D39" s="93"/>
      <c r="E39" s="96"/>
    </row>
    <row r="40" spans="1:5">
      <c r="A40" s="48" t="str">
        <f>HYPERLINK("#DocDisbursements!B5","Doc - Disbursements")</f>
        <v>Doc - Disbursements</v>
      </c>
      <c r="B40" s="88"/>
      <c r="C40" s="91"/>
      <c r="D40" s="94"/>
      <c r="E40" s="97"/>
    </row>
    <row r="41" spans="1:5" ht="14.55" customHeight="1">
      <c r="A41" s="51" t="s">
        <v>27</v>
      </c>
      <c r="B41" s="86" t="s">
        <v>71</v>
      </c>
      <c r="C41" s="89" t="s">
        <v>184</v>
      </c>
      <c r="D41" s="92"/>
      <c r="E41" s="95"/>
    </row>
    <row r="42" spans="1:5">
      <c r="A42" s="49" t="s">
        <v>185</v>
      </c>
      <c r="B42" s="87"/>
      <c r="C42" s="90"/>
      <c r="D42" s="93"/>
      <c r="E42" s="96"/>
    </row>
    <row r="43" spans="1:5">
      <c r="A43" s="52" t="s">
        <v>64</v>
      </c>
      <c r="B43" s="87"/>
      <c r="C43" s="90"/>
      <c r="D43" s="93"/>
      <c r="E43" s="96"/>
    </row>
    <row r="44" spans="1:5">
      <c r="A44" s="50" t="str">
        <f>HYPERLINK("#DocCollections!B5","Doc - Collections")</f>
        <v>Doc - Collections</v>
      </c>
      <c r="B44" s="87"/>
      <c r="C44" s="90"/>
      <c r="D44" s="93"/>
      <c r="E44" s="96"/>
    </row>
    <row r="45" spans="1:5">
      <c r="A45" s="48" t="str">
        <f>HYPERLINK("#DocDisbursements!B5","Doc - Disbursements")</f>
        <v>Doc - Disbursements</v>
      </c>
      <c r="B45" s="88"/>
      <c r="C45" s="91"/>
      <c r="D45" s="94"/>
      <c r="E45" s="97"/>
    </row>
    <row r="46" spans="1:5" ht="14.55" customHeight="1">
      <c r="A46" s="51" t="s">
        <v>28</v>
      </c>
      <c r="B46" s="86" t="s">
        <v>59</v>
      </c>
      <c r="C46" s="89" t="s">
        <v>82</v>
      </c>
      <c r="D46" s="92"/>
      <c r="E46" s="95"/>
    </row>
    <row r="47" spans="1:5">
      <c r="A47" s="49" t="s">
        <v>185</v>
      </c>
      <c r="B47" s="87"/>
      <c r="C47" s="90"/>
      <c r="D47" s="93"/>
      <c r="E47" s="96"/>
    </row>
    <row r="48" spans="1:5">
      <c r="A48" s="52" t="s">
        <v>64</v>
      </c>
      <c r="B48" s="87"/>
      <c r="C48" s="90"/>
      <c r="D48" s="93"/>
      <c r="E48" s="96"/>
    </row>
    <row r="49" spans="1:5">
      <c r="A49" s="50" t="str">
        <f>HYPERLINK("#DocCollections!B5","Doc - Collections")</f>
        <v>Doc - Collections</v>
      </c>
      <c r="B49" s="87"/>
      <c r="C49" s="90"/>
      <c r="D49" s="93"/>
      <c r="E49" s="96"/>
    </row>
    <row r="50" spans="1:5">
      <c r="A50" s="48" t="str">
        <f>HYPERLINK("#DocDisbursements!B5","Doc - Disbursements")</f>
        <v>Doc - Disbursements</v>
      </c>
      <c r="B50" s="88"/>
      <c r="C50" s="91"/>
      <c r="D50" s="94"/>
      <c r="E50" s="97"/>
    </row>
    <row r="51" spans="1:5" ht="14.55" customHeight="1">
      <c r="A51" s="51" t="s">
        <v>30</v>
      </c>
      <c r="B51" s="86" t="s">
        <v>61</v>
      </c>
      <c r="C51" s="89" t="s">
        <v>83</v>
      </c>
      <c r="D51" s="92"/>
      <c r="E51" s="95"/>
    </row>
    <row r="52" spans="1:5">
      <c r="A52" s="49" t="s">
        <v>185</v>
      </c>
      <c r="B52" s="87"/>
      <c r="C52" s="90"/>
      <c r="D52" s="93"/>
      <c r="E52" s="96"/>
    </row>
    <row r="53" spans="1:5">
      <c r="A53" s="52" t="s">
        <v>64</v>
      </c>
      <c r="B53" s="87"/>
      <c r="C53" s="90"/>
      <c r="D53" s="93"/>
      <c r="E53" s="96"/>
    </row>
    <row r="54" spans="1:5">
      <c r="A54" s="50" t="str">
        <f>HYPERLINK("#DocCollections!B5","Doc - Collections")</f>
        <v>Doc - Collections</v>
      </c>
      <c r="B54" s="87"/>
      <c r="C54" s="90"/>
      <c r="D54" s="93"/>
      <c r="E54" s="96"/>
    </row>
    <row r="55" spans="1:5">
      <c r="A55" s="48" t="str">
        <f>HYPERLINK("#DocDisbursements!B5","Doc - Disbursements")</f>
        <v>Doc - Disbursements</v>
      </c>
      <c r="B55" s="88"/>
      <c r="C55" s="91"/>
      <c r="D55" s="94"/>
      <c r="E55" s="97"/>
    </row>
  </sheetData>
  <mergeCells count="43">
    <mergeCell ref="B46:B50"/>
    <mergeCell ref="C46:C50"/>
    <mergeCell ref="D46:D50"/>
    <mergeCell ref="E46:E50"/>
    <mergeCell ref="B51:B55"/>
    <mergeCell ref="C51:C55"/>
    <mergeCell ref="D51:D55"/>
    <mergeCell ref="E51:E55"/>
    <mergeCell ref="B36:B40"/>
    <mergeCell ref="C36:C40"/>
    <mergeCell ref="D36:D40"/>
    <mergeCell ref="E36:E40"/>
    <mergeCell ref="B41:B45"/>
    <mergeCell ref="C41:C45"/>
    <mergeCell ref="D41:D45"/>
    <mergeCell ref="E41:E45"/>
    <mergeCell ref="B26:B30"/>
    <mergeCell ref="C26:C30"/>
    <mergeCell ref="D26:D30"/>
    <mergeCell ref="E26:E30"/>
    <mergeCell ref="B31:B35"/>
    <mergeCell ref="C31:C35"/>
    <mergeCell ref="D31:D35"/>
    <mergeCell ref="E31:E35"/>
    <mergeCell ref="E15:E19"/>
    <mergeCell ref="B20:B24"/>
    <mergeCell ref="C20:C24"/>
    <mergeCell ref="D20:D24"/>
    <mergeCell ref="E20:E24"/>
    <mergeCell ref="E5:E9"/>
    <mergeCell ref="B10:B14"/>
    <mergeCell ref="C10:C14"/>
    <mergeCell ref="D10:D14"/>
    <mergeCell ref="E10:E14"/>
    <mergeCell ref="B1:C1"/>
    <mergeCell ref="A4:D4"/>
    <mergeCell ref="A25:D25"/>
    <mergeCell ref="B5:B9"/>
    <mergeCell ref="C5:C9"/>
    <mergeCell ref="D5:D9"/>
    <mergeCell ref="B15:B19"/>
    <mergeCell ref="C15:C19"/>
    <mergeCell ref="D15:D19"/>
  </mergeCells>
  <printOptions gridLines="1"/>
  <pageMargins left="0.7" right="0.7" top="0.75" bottom="0.75" header="0.3" footer="0.3"/>
  <pageSetup fitToHeight="0" orientation="landscape" horizontalDpi="90" verticalDpi="90" r:id="rId1"/>
  <headerFooter>
    <oddFooter>&amp;L_x000D_&amp;1#&amp;"Calibri"&amp;10&amp;K000000 Sensitivity: Public</oddFooter>
  </headerFooter>
  <colBreaks count="1" manualBreakCount="1">
    <brk id="3" max="54"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67143-89A3-42BE-B271-E78F5976BB70}">
  <sheetPr>
    <pageSetUpPr fitToPage="1"/>
  </sheetPr>
  <dimension ref="A1:E55"/>
  <sheetViews>
    <sheetView zoomScaleNormal="100" zoomScaleSheetLayoutView="100" workbookViewId="0">
      <selection activeCell="B5" sqref="B5:B9"/>
    </sheetView>
  </sheetViews>
  <sheetFormatPr defaultColWidth="9" defaultRowHeight="12"/>
  <cols>
    <col min="1" max="1" width="18.44140625" style="11" customWidth="1"/>
    <col min="2" max="2" width="21.44140625" style="11" customWidth="1"/>
    <col min="3" max="3" width="37.6640625" style="11" customWidth="1"/>
    <col min="4" max="4" width="41.109375" style="11" customWidth="1"/>
    <col min="5" max="5" width="26.77734375" style="11" customWidth="1"/>
    <col min="6" max="16384" width="9" style="11"/>
  </cols>
  <sheetData>
    <row r="1" spans="1:5">
      <c r="A1" s="9"/>
      <c r="B1" s="60" t="s">
        <v>186</v>
      </c>
      <c r="C1" s="60"/>
      <c r="D1" s="9"/>
      <c r="E1" s="56"/>
    </row>
    <row r="2" spans="1:5">
      <c r="B2" s="12"/>
      <c r="C2" s="12"/>
    </row>
    <row r="3" spans="1:5" ht="27.45" customHeight="1">
      <c r="A3" s="21" t="s">
        <v>1</v>
      </c>
      <c r="B3" s="10" t="s">
        <v>2</v>
      </c>
      <c r="C3" s="10" t="s">
        <v>3</v>
      </c>
      <c r="D3" s="22" t="s">
        <v>5</v>
      </c>
      <c r="E3" s="10" t="s">
        <v>6</v>
      </c>
    </row>
    <row r="4" spans="1:5">
      <c r="A4" s="61" t="s">
        <v>38</v>
      </c>
      <c r="B4" s="61"/>
      <c r="C4" s="61"/>
      <c r="D4" s="61"/>
      <c r="E4" s="14"/>
    </row>
    <row r="5" spans="1:5" ht="14.55" customHeight="1">
      <c r="A5" s="51" t="s">
        <v>8</v>
      </c>
      <c r="B5" s="86" t="s">
        <v>26</v>
      </c>
      <c r="C5" s="89" t="s">
        <v>174</v>
      </c>
      <c r="D5" s="92"/>
      <c r="E5" s="95"/>
    </row>
    <row r="6" spans="1:5">
      <c r="A6" s="49" t="s">
        <v>25</v>
      </c>
      <c r="B6" s="87"/>
      <c r="C6" s="90"/>
      <c r="D6" s="93"/>
      <c r="E6" s="96"/>
    </row>
    <row r="7" spans="1:5">
      <c r="A7" s="52" t="s">
        <v>19</v>
      </c>
      <c r="B7" s="87"/>
      <c r="C7" s="90"/>
      <c r="D7" s="93"/>
      <c r="E7" s="96"/>
    </row>
    <row r="8" spans="1:5">
      <c r="A8" s="53" t="str">
        <f>HYPERLINK("#DocCollections!B2","Doc - Collections")</f>
        <v>Doc - Collections</v>
      </c>
      <c r="B8" s="87"/>
      <c r="C8" s="90"/>
      <c r="D8" s="93"/>
      <c r="E8" s="96"/>
    </row>
    <row r="9" spans="1:5">
      <c r="A9" s="54" t="str">
        <f>HYPERLINK("#DocDisbursements!B2","Doc - Disbursements")</f>
        <v>Doc - Disbursements</v>
      </c>
      <c r="B9" s="88"/>
      <c r="C9" s="91"/>
      <c r="D9" s="94"/>
      <c r="E9" s="97"/>
    </row>
    <row r="10" spans="1:5" ht="14.55" customHeight="1">
      <c r="A10" s="51" t="s">
        <v>12</v>
      </c>
      <c r="B10" s="86" t="s">
        <v>178</v>
      </c>
      <c r="C10" s="89" t="s">
        <v>175</v>
      </c>
      <c r="D10" s="92"/>
      <c r="E10" s="95"/>
    </row>
    <row r="11" spans="1:5">
      <c r="A11" s="49" t="s">
        <v>25</v>
      </c>
      <c r="B11" s="87"/>
      <c r="C11" s="90"/>
      <c r="D11" s="93"/>
      <c r="E11" s="96"/>
    </row>
    <row r="12" spans="1:5">
      <c r="A12" s="52" t="s">
        <v>19</v>
      </c>
      <c r="B12" s="87"/>
      <c r="C12" s="90"/>
      <c r="D12" s="93"/>
      <c r="E12" s="96"/>
    </row>
    <row r="13" spans="1:5">
      <c r="A13" s="53" t="str">
        <f>HYPERLINK("#DocCollections!B2","Doc - Collections")</f>
        <v>Doc - Collections</v>
      </c>
      <c r="B13" s="87"/>
      <c r="C13" s="90"/>
      <c r="D13" s="93"/>
      <c r="E13" s="96"/>
    </row>
    <row r="14" spans="1:5">
      <c r="A14" s="54" t="str">
        <f>HYPERLINK("#DocDisbursements!B2","Doc - Disbursements")</f>
        <v>Doc - Disbursements</v>
      </c>
      <c r="B14" s="88"/>
      <c r="C14" s="91"/>
      <c r="D14" s="94"/>
      <c r="E14" s="97"/>
    </row>
    <row r="15" spans="1:5" ht="14.55" customHeight="1">
      <c r="A15" s="51" t="s">
        <v>39</v>
      </c>
      <c r="B15" s="86" t="s">
        <v>29</v>
      </c>
      <c r="C15" s="89" t="s">
        <v>173</v>
      </c>
      <c r="D15" s="92"/>
      <c r="E15" s="95"/>
    </row>
    <row r="16" spans="1:5">
      <c r="A16" s="49" t="s">
        <v>25</v>
      </c>
      <c r="B16" s="87"/>
      <c r="C16" s="90"/>
      <c r="D16" s="93"/>
      <c r="E16" s="96"/>
    </row>
    <row r="17" spans="1:5">
      <c r="A17" s="52" t="s">
        <v>19</v>
      </c>
      <c r="B17" s="87"/>
      <c r="C17" s="90"/>
      <c r="D17" s="93"/>
      <c r="E17" s="96"/>
    </row>
    <row r="18" spans="1:5">
      <c r="A18" s="53" t="str">
        <f>HYPERLINK("#DocCollections!B2","Doc - Collections")</f>
        <v>Doc - Collections</v>
      </c>
      <c r="B18" s="87"/>
      <c r="C18" s="90"/>
      <c r="D18" s="93"/>
      <c r="E18" s="96"/>
    </row>
    <row r="19" spans="1:5">
      <c r="A19" s="54" t="str">
        <f>HYPERLINK("#DocDisbursements!B2","Doc - Disbursements")</f>
        <v>Doc - Disbursements</v>
      </c>
      <c r="B19" s="88"/>
      <c r="C19" s="91"/>
      <c r="D19" s="94"/>
      <c r="E19" s="97"/>
    </row>
    <row r="20" spans="1:5" ht="14.55" customHeight="1">
      <c r="A20" s="51" t="s">
        <v>40</v>
      </c>
      <c r="B20" s="86" t="s">
        <v>29</v>
      </c>
      <c r="C20" s="89" t="s">
        <v>176</v>
      </c>
      <c r="D20" s="92"/>
      <c r="E20" s="95"/>
    </row>
    <row r="21" spans="1:5">
      <c r="A21" s="49" t="s">
        <v>25</v>
      </c>
      <c r="B21" s="87"/>
      <c r="C21" s="90"/>
      <c r="D21" s="93"/>
      <c r="E21" s="96"/>
    </row>
    <row r="22" spans="1:5">
      <c r="A22" s="52" t="s">
        <v>19</v>
      </c>
      <c r="B22" s="87"/>
      <c r="C22" s="90"/>
      <c r="D22" s="93"/>
      <c r="E22" s="96"/>
    </row>
    <row r="23" spans="1:5">
      <c r="A23" s="53" t="str">
        <f>HYPERLINK("#DocCollections!B2","Doc - Collections")</f>
        <v>Doc - Collections</v>
      </c>
      <c r="B23" s="87"/>
      <c r="C23" s="90"/>
      <c r="D23" s="93"/>
      <c r="E23" s="96"/>
    </row>
    <row r="24" spans="1:5">
      <c r="A24" s="54" t="str">
        <f>HYPERLINK("#DocDisbursements!B2","Doc - Disbursements")</f>
        <v>Doc - Disbursements</v>
      </c>
      <c r="B24" s="88"/>
      <c r="C24" s="91"/>
      <c r="D24" s="94"/>
      <c r="E24" s="97"/>
    </row>
    <row r="25" spans="1:5">
      <c r="A25" s="82" t="s">
        <v>41</v>
      </c>
      <c r="B25" s="82"/>
      <c r="C25" s="82"/>
      <c r="D25" s="82"/>
      <c r="E25" s="14"/>
    </row>
    <row r="26" spans="1:5" ht="14.55" customHeight="1">
      <c r="A26" s="51" t="s">
        <v>17</v>
      </c>
      <c r="B26" s="86" t="s">
        <v>65</v>
      </c>
      <c r="C26" s="89" t="s">
        <v>77</v>
      </c>
      <c r="D26" s="92"/>
      <c r="E26" s="95"/>
    </row>
    <row r="27" spans="1:5">
      <c r="A27" s="49" t="s">
        <v>84</v>
      </c>
      <c r="B27" s="87"/>
      <c r="C27" s="90"/>
      <c r="D27" s="93"/>
      <c r="E27" s="96"/>
    </row>
    <row r="28" spans="1:5">
      <c r="A28" s="52" t="s">
        <v>64</v>
      </c>
      <c r="B28" s="87"/>
      <c r="C28" s="90"/>
      <c r="D28" s="93"/>
      <c r="E28" s="96"/>
    </row>
    <row r="29" spans="1:5">
      <c r="A29" s="53" t="str">
        <f>HYPERLINK("#DocCollections!B6","Doc - Collections")</f>
        <v>Doc - Collections</v>
      </c>
      <c r="B29" s="87"/>
      <c r="C29" s="90"/>
      <c r="D29" s="93"/>
      <c r="E29" s="96"/>
    </row>
    <row r="30" spans="1:5">
      <c r="A30" s="53" t="str">
        <f>HYPERLINK("#DocDisbursements!B6","Doc - Disbursements")</f>
        <v>Doc - Disbursements</v>
      </c>
      <c r="B30" s="88"/>
      <c r="C30" s="91"/>
      <c r="D30" s="94"/>
      <c r="E30" s="97"/>
    </row>
    <row r="31" spans="1:5" ht="14.55" customHeight="1">
      <c r="A31" s="51" t="s">
        <v>22</v>
      </c>
      <c r="B31" s="86" t="s">
        <v>78</v>
      </c>
      <c r="C31" s="89" t="s">
        <v>79</v>
      </c>
      <c r="D31" s="92"/>
      <c r="E31" s="95"/>
    </row>
    <row r="32" spans="1:5">
      <c r="A32" s="49" t="s">
        <v>84</v>
      </c>
      <c r="B32" s="87"/>
      <c r="C32" s="90"/>
      <c r="D32" s="93"/>
      <c r="E32" s="96"/>
    </row>
    <row r="33" spans="1:5">
      <c r="A33" s="52" t="s">
        <v>64</v>
      </c>
      <c r="B33" s="87"/>
      <c r="C33" s="90"/>
      <c r="D33" s="93"/>
      <c r="E33" s="96"/>
    </row>
    <row r="34" spans="1:5">
      <c r="A34" s="53" t="str">
        <f>HYPERLINK("#DocCollections!B6","Doc - Collections")</f>
        <v>Doc - Collections</v>
      </c>
      <c r="B34" s="87"/>
      <c r="C34" s="90"/>
      <c r="D34" s="93"/>
      <c r="E34" s="96"/>
    </row>
    <row r="35" spans="1:5">
      <c r="A35" s="53" t="str">
        <f>HYPERLINK("#DocDisbursements!B6","Doc - Disbursements")</f>
        <v>Doc - Disbursements</v>
      </c>
      <c r="B35" s="88"/>
      <c r="C35" s="91"/>
      <c r="D35" s="94"/>
      <c r="E35" s="97"/>
    </row>
    <row r="36" spans="1:5" ht="14.55" customHeight="1">
      <c r="A36" s="51" t="s">
        <v>24</v>
      </c>
      <c r="B36" s="86" t="s">
        <v>80</v>
      </c>
      <c r="C36" s="89" t="s">
        <v>81</v>
      </c>
      <c r="D36" s="92"/>
      <c r="E36" s="95"/>
    </row>
    <row r="37" spans="1:5">
      <c r="A37" s="49" t="s">
        <v>84</v>
      </c>
      <c r="B37" s="87"/>
      <c r="C37" s="90"/>
      <c r="D37" s="93"/>
      <c r="E37" s="96"/>
    </row>
    <row r="38" spans="1:5">
      <c r="A38" s="52" t="s">
        <v>64</v>
      </c>
      <c r="B38" s="87"/>
      <c r="C38" s="90"/>
      <c r="D38" s="93"/>
      <c r="E38" s="96"/>
    </row>
    <row r="39" spans="1:5">
      <c r="A39" s="53" t="str">
        <f>HYPERLINK("#DocCollections!B6","Doc - Collections")</f>
        <v>Doc - Collections</v>
      </c>
      <c r="B39" s="87"/>
      <c r="C39" s="90"/>
      <c r="D39" s="93"/>
      <c r="E39" s="96"/>
    </row>
    <row r="40" spans="1:5">
      <c r="A40" s="53" t="str">
        <f>HYPERLINK("#DocDisbursements!B6","Doc - Disbursements")</f>
        <v>Doc - Disbursements</v>
      </c>
      <c r="B40" s="88"/>
      <c r="C40" s="91"/>
      <c r="D40" s="94"/>
      <c r="E40" s="97"/>
    </row>
    <row r="41" spans="1:5" ht="14.55" customHeight="1">
      <c r="A41" s="51" t="s">
        <v>27</v>
      </c>
      <c r="B41" s="86" t="s">
        <v>71</v>
      </c>
      <c r="C41" s="89" t="s">
        <v>184</v>
      </c>
      <c r="D41" s="92"/>
      <c r="E41" s="95"/>
    </row>
    <row r="42" spans="1:5">
      <c r="A42" s="49" t="s">
        <v>84</v>
      </c>
      <c r="B42" s="87"/>
      <c r="C42" s="90"/>
      <c r="D42" s="93"/>
      <c r="E42" s="96"/>
    </row>
    <row r="43" spans="1:5">
      <c r="A43" s="52" t="s">
        <v>64</v>
      </c>
      <c r="B43" s="87"/>
      <c r="C43" s="90"/>
      <c r="D43" s="93"/>
      <c r="E43" s="96"/>
    </row>
    <row r="44" spans="1:5">
      <c r="A44" s="53" t="str">
        <f>HYPERLINK("#DocCollections!B6","Doc - Collections")</f>
        <v>Doc - Collections</v>
      </c>
      <c r="B44" s="87"/>
      <c r="C44" s="90"/>
      <c r="D44" s="93"/>
      <c r="E44" s="96"/>
    </row>
    <row r="45" spans="1:5">
      <c r="A45" s="53" t="str">
        <f>HYPERLINK("#DocDisbursements!B6","Doc - Disbursements")</f>
        <v>Doc - Disbursements</v>
      </c>
      <c r="B45" s="88"/>
      <c r="C45" s="91"/>
      <c r="D45" s="94"/>
      <c r="E45" s="97"/>
    </row>
    <row r="46" spans="1:5" ht="14.55" customHeight="1">
      <c r="A46" s="51" t="s">
        <v>28</v>
      </c>
      <c r="B46" s="86" t="s">
        <v>59</v>
      </c>
      <c r="C46" s="89" t="s">
        <v>82</v>
      </c>
      <c r="D46" s="92"/>
      <c r="E46" s="95"/>
    </row>
    <row r="47" spans="1:5">
      <c r="A47" s="49" t="s">
        <v>84</v>
      </c>
      <c r="B47" s="87"/>
      <c r="C47" s="90"/>
      <c r="D47" s="93"/>
      <c r="E47" s="96"/>
    </row>
    <row r="48" spans="1:5">
      <c r="A48" s="52" t="s">
        <v>64</v>
      </c>
      <c r="B48" s="87"/>
      <c r="C48" s="90"/>
      <c r="D48" s="93"/>
      <c r="E48" s="96"/>
    </row>
    <row r="49" spans="1:5">
      <c r="A49" s="53" t="str">
        <f>HYPERLINK("#DocCollections!B6","Doc - Collections")</f>
        <v>Doc - Collections</v>
      </c>
      <c r="B49" s="87"/>
      <c r="C49" s="90"/>
      <c r="D49" s="93"/>
      <c r="E49" s="96"/>
    </row>
    <row r="50" spans="1:5">
      <c r="A50" s="53" t="str">
        <f>HYPERLINK("#DocDisbursements!B6","Doc - Disbursements")</f>
        <v>Doc - Disbursements</v>
      </c>
      <c r="B50" s="88"/>
      <c r="C50" s="91"/>
      <c r="D50" s="94"/>
      <c r="E50" s="97"/>
    </row>
    <row r="51" spans="1:5" ht="14.55" customHeight="1">
      <c r="A51" s="51" t="s">
        <v>30</v>
      </c>
      <c r="B51" s="86" t="s">
        <v>61</v>
      </c>
      <c r="C51" s="89" t="s">
        <v>83</v>
      </c>
      <c r="D51" s="92"/>
      <c r="E51" s="95"/>
    </row>
    <row r="52" spans="1:5">
      <c r="A52" s="49" t="s">
        <v>185</v>
      </c>
      <c r="B52" s="87"/>
      <c r="C52" s="90"/>
      <c r="D52" s="93"/>
      <c r="E52" s="96"/>
    </row>
    <row r="53" spans="1:5">
      <c r="A53" s="52" t="s">
        <v>64</v>
      </c>
      <c r="B53" s="87"/>
      <c r="C53" s="90"/>
      <c r="D53" s="93"/>
      <c r="E53" s="96"/>
    </row>
    <row r="54" spans="1:5">
      <c r="A54" s="53" t="str">
        <f>HYPERLINK("#DocCollections!B6","Doc - Collections")</f>
        <v>Doc - Collections</v>
      </c>
      <c r="B54" s="87"/>
      <c r="C54" s="90"/>
      <c r="D54" s="93"/>
      <c r="E54" s="96"/>
    </row>
    <row r="55" spans="1:5">
      <c r="A55" s="53" t="str">
        <f>HYPERLINK("#DocDisbursements!B6","Doc - Disbursements")</f>
        <v>Doc - Disbursements</v>
      </c>
      <c r="B55" s="88"/>
      <c r="C55" s="91"/>
      <c r="D55" s="94"/>
      <c r="E55" s="97"/>
    </row>
  </sheetData>
  <mergeCells count="43">
    <mergeCell ref="B1:C1"/>
    <mergeCell ref="A4:D4"/>
    <mergeCell ref="B5:B9"/>
    <mergeCell ref="C5:C9"/>
    <mergeCell ref="D5:D9"/>
    <mergeCell ref="B20:B24"/>
    <mergeCell ref="C20:C24"/>
    <mergeCell ref="D20:D24"/>
    <mergeCell ref="E20:E24"/>
    <mergeCell ref="E5:E9"/>
    <mergeCell ref="B10:B14"/>
    <mergeCell ref="C10:C14"/>
    <mergeCell ref="D10:D14"/>
    <mergeCell ref="E10:E14"/>
    <mergeCell ref="B15:B19"/>
    <mergeCell ref="C15:C19"/>
    <mergeCell ref="D15:D19"/>
    <mergeCell ref="E15:E19"/>
    <mergeCell ref="A25:D25"/>
    <mergeCell ref="B31:B35"/>
    <mergeCell ref="C31:C35"/>
    <mergeCell ref="D31:D35"/>
    <mergeCell ref="E31:E35"/>
    <mergeCell ref="B26:B30"/>
    <mergeCell ref="C26:C30"/>
    <mergeCell ref="D26:D30"/>
    <mergeCell ref="E26:E30"/>
    <mergeCell ref="B36:B40"/>
    <mergeCell ref="C36:C40"/>
    <mergeCell ref="D36:D40"/>
    <mergeCell ref="E36:E40"/>
    <mergeCell ref="B51:B55"/>
    <mergeCell ref="C51:C55"/>
    <mergeCell ref="D51:D55"/>
    <mergeCell ref="E51:E55"/>
    <mergeCell ref="B41:B45"/>
    <mergeCell ref="C41:C45"/>
    <mergeCell ref="D41:D45"/>
    <mergeCell ref="E41:E45"/>
    <mergeCell ref="B46:B50"/>
    <mergeCell ref="C46:C50"/>
    <mergeCell ref="D46:D50"/>
    <mergeCell ref="E46:E50"/>
  </mergeCells>
  <printOptions gridLines="1"/>
  <pageMargins left="0.7" right="0.7" top="0.75" bottom="0.75" header="0.3" footer="0.3"/>
  <pageSetup fitToHeight="0" orientation="landscape" horizontalDpi="90" verticalDpi="90" r:id="rId1"/>
  <headerFooter>
    <oddFooter>&amp;L_x000D_&amp;1#&amp;"Calibri"&amp;10&amp;K000000 Sensitivity: Public</oddFooter>
  </headerFooter>
  <colBreaks count="1" manualBreakCount="1">
    <brk id="3" max="54"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E2157-DCD4-415C-8D6A-9E8746EA41B6}">
  <dimension ref="A1:C22"/>
  <sheetViews>
    <sheetView workbookViewId="0">
      <pane ySplit="1" topLeftCell="A17" activePane="bottomLeft" state="frozen"/>
      <selection pane="bottomLeft" activeCell="B1" sqref="B1"/>
    </sheetView>
  </sheetViews>
  <sheetFormatPr defaultColWidth="8.77734375" defaultRowHeight="13.8"/>
  <cols>
    <col min="1" max="1" width="15.21875" style="26" customWidth="1"/>
    <col min="2" max="2" width="53.21875" style="33" customWidth="1"/>
    <col min="3" max="3" width="78.77734375" style="33" customWidth="1"/>
    <col min="4" max="16384" width="8.77734375" style="29"/>
  </cols>
  <sheetData>
    <row r="1" spans="1:3" s="26" customFormat="1">
      <c r="A1" s="23" t="s">
        <v>115</v>
      </c>
      <c r="B1" s="24" t="s">
        <v>116</v>
      </c>
      <c r="C1" s="25" t="s">
        <v>155</v>
      </c>
    </row>
    <row r="2" spans="1:3" ht="151.80000000000001">
      <c r="A2" s="27" t="s">
        <v>117</v>
      </c>
      <c r="B2" s="8" t="s">
        <v>118</v>
      </c>
      <c r="C2" s="28" t="s">
        <v>154</v>
      </c>
    </row>
    <row r="3" spans="1:3" ht="331.2">
      <c r="A3" s="27"/>
      <c r="B3" s="8" t="s">
        <v>119</v>
      </c>
      <c r="C3" s="28" t="s">
        <v>177</v>
      </c>
    </row>
    <row r="4" spans="1:3">
      <c r="A4" s="27"/>
      <c r="B4" s="8"/>
      <c r="C4" s="28"/>
    </row>
    <row r="5" spans="1:3" ht="165.6">
      <c r="A5" s="27" t="s">
        <v>120</v>
      </c>
      <c r="B5" s="8" t="s">
        <v>121</v>
      </c>
      <c r="C5" s="28" t="s">
        <v>138</v>
      </c>
    </row>
    <row r="6" spans="1:3">
      <c r="A6" s="27"/>
      <c r="B6" s="8" t="s">
        <v>122</v>
      </c>
      <c r="C6" s="28" t="s">
        <v>139</v>
      </c>
    </row>
    <row r="7" spans="1:3">
      <c r="A7" s="27"/>
      <c r="B7" s="8"/>
      <c r="C7" s="28"/>
    </row>
    <row r="8" spans="1:3">
      <c r="A8" s="27" t="s">
        <v>123</v>
      </c>
      <c r="B8" s="8" t="s">
        <v>124</v>
      </c>
      <c r="C8" s="28" t="s">
        <v>140</v>
      </c>
    </row>
    <row r="9" spans="1:3">
      <c r="A9" s="27"/>
      <c r="B9" s="8" t="s">
        <v>125</v>
      </c>
      <c r="C9" s="28" t="s">
        <v>141</v>
      </c>
    </row>
    <row r="10" spans="1:3" ht="27.6">
      <c r="A10" s="27"/>
      <c r="B10" s="8" t="s">
        <v>126</v>
      </c>
      <c r="C10" s="28" t="s">
        <v>142</v>
      </c>
    </row>
    <row r="11" spans="1:3">
      <c r="A11" s="27"/>
      <c r="B11" s="8"/>
      <c r="C11" s="28"/>
    </row>
    <row r="12" spans="1:3" ht="151.80000000000001">
      <c r="A12" s="27" t="s">
        <v>127</v>
      </c>
      <c r="B12" s="8" t="s">
        <v>143</v>
      </c>
      <c r="C12" s="28" t="s">
        <v>144</v>
      </c>
    </row>
    <row r="13" spans="1:3" ht="27.6">
      <c r="A13" s="27"/>
      <c r="B13" s="8" t="s">
        <v>128</v>
      </c>
      <c r="C13" s="28" t="s">
        <v>145</v>
      </c>
    </row>
    <row r="14" spans="1:3">
      <c r="A14" s="27"/>
      <c r="B14" s="8" t="s">
        <v>129</v>
      </c>
      <c r="C14" s="28" t="s">
        <v>146</v>
      </c>
    </row>
    <row r="15" spans="1:3">
      <c r="A15" s="27"/>
      <c r="B15" s="8"/>
      <c r="C15" s="28"/>
    </row>
    <row r="16" spans="1:3">
      <c r="A16" s="27" t="s">
        <v>130</v>
      </c>
      <c r="B16" s="8" t="s">
        <v>131</v>
      </c>
      <c r="C16" s="28" t="s">
        <v>147</v>
      </c>
    </row>
    <row r="17" spans="1:3" ht="165.6">
      <c r="A17" s="27"/>
      <c r="B17" s="8" t="s">
        <v>132</v>
      </c>
      <c r="C17" s="28" t="s">
        <v>148</v>
      </c>
    </row>
    <row r="18" spans="1:3" ht="151.80000000000001">
      <c r="A18" s="27"/>
      <c r="B18" s="8" t="s">
        <v>133</v>
      </c>
      <c r="C18" s="28" t="s">
        <v>149</v>
      </c>
    </row>
    <row r="19" spans="1:3" ht="27.6">
      <c r="A19" s="27"/>
      <c r="B19" s="8" t="s">
        <v>134</v>
      </c>
      <c r="C19" s="28" t="s">
        <v>150</v>
      </c>
    </row>
    <row r="20" spans="1:3">
      <c r="A20" s="27"/>
      <c r="B20" s="8" t="s">
        <v>135</v>
      </c>
      <c r="C20" s="28" t="s">
        <v>151</v>
      </c>
    </row>
    <row r="21" spans="1:3">
      <c r="A21" s="27"/>
      <c r="B21" s="8" t="s">
        <v>136</v>
      </c>
      <c r="C21" s="28" t="s">
        <v>152</v>
      </c>
    </row>
    <row r="22" spans="1:3" ht="41.4">
      <c r="A22" s="30"/>
      <c r="B22" s="31" t="s">
        <v>137</v>
      </c>
      <c r="C22" s="32" t="s">
        <v>153</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C9600-CB95-46D5-A63A-90567B9654D6}">
  <dimension ref="A1:C6"/>
  <sheetViews>
    <sheetView workbookViewId="0">
      <selection activeCell="B2" sqref="B2"/>
    </sheetView>
  </sheetViews>
  <sheetFormatPr defaultColWidth="8.77734375" defaultRowHeight="13.8"/>
  <cols>
    <col min="1" max="1" width="13.33203125" style="7" customWidth="1"/>
    <col min="2" max="2" width="32.5546875" style="7" customWidth="1"/>
    <col min="3" max="3" width="118.88671875" style="7" customWidth="1"/>
    <col min="4" max="16384" width="8.77734375" style="7"/>
  </cols>
  <sheetData>
    <row r="1" spans="1:3">
      <c r="A1" s="36" t="s">
        <v>88</v>
      </c>
      <c r="B1" s="36" t="s">
        <v>85</v>
      </c>
      <c r="C1" s="36" t="s">
        <v>86</v>
      </c>
    </row>
    <row r="2" spans="1:3">
      <c r="A2" s="37" t="s">
        <v>89</v>
      </c>
      <c r="B2" s="37" t="s">
        <v>95</v>
      </c>
      <c r="C2" s="38" t="s">
        <v>87</v>
      </c>
    </row>
    <row r="3" spans="1:3">
      <c r="A3" s="37" t="s">
        <v>89</v>
      </c>
      <c r="B3" s="37" t="s">
        <v>91</v>
      </c>
      <c r="C3" s="38" t="s">
        <v>90</v>
      </c>
    </row>
    <row r="4" spans="1:3">
      <c r="A4" s="37" t="s">
        <v>89</v>
      </c>
      <c r="B4" s="37" t="s">
        <v>92</v>
      </c>
      <c r="C4" s="38" t="s">
        <v>93</v>
      </c>
    </row>
    <row r="5" spans="1:3">
      <c r="A5" s="37" t="s">
        <v>89</v>
      </c>
      <c r="B5" s="37" t="s">
        <v>103</v>
      </c>
      <c r="C5" s="38" t="s">
        <v>102</v>
      </c>
    </row>
    <row r="6" spans="1:3">
      <c r="A6" s="37" t="s">
        <v>89</v>
      </c>
      <c r="B6" s="37" t="s">
        <v>106</v>
      </c>
      <c r="C6" s="38" t="s">
        <v>105</v>
      </c>
    </row>
  </sheetData>
  <dataValidations count="1">
    <dataValidation type="list" allowBlank="1" showInputMessage="1" showErrorMessage="1" sqref="A1:A1048576" xr:uid="{7A1B2AF6-74D1-4BD5-A96E-4E1FCD4FA678}">
      <formula1>"Collections, Disbursements, User Provisioning, Remittances"</formula1>
    </dataValidation>
  </dataValidations>
  <hyperlinks>
    <hyperlink ref="C5" r:id="rId1" xr:uid="{AF56384A-B09D-4A93-BB56-D85C65B32D3E}"/>
    <hyperlink ref="C4" r:id="rId2" xr:uid="{5963DB1D-B3E3-40FA-8A2F-8EC2DD1D308B}"/>
    <hyperlink ref="C3" r:id="rId3" xr:uid="{0BD4C7C9-E4EC-4ADC-9188-3E8E54C3ECDC}"/>
    <hyperlink ref="C2" r:id="rId4" xr:uid="{52F798DE-33B0-45A0-B9DE-A2F5AC8AEFD2}"/>
    <hyperlink ref="C6" r:id="rId5" xr:uid="{9F5F896F-8D1F-446F-BD43-40C84AB4EA27}"/>
  </hyperlinks>
  <pageMargins left="0.7" right="0.7" top="0.75" bottom="0.75" header="0.3" footer="0.3"/>
  <pageSetup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F3C4-57B0-403D-9489-195DF7DB5D13}">
  <dimension ref="A1:C6"/>
  <sheetViews>
    <sheetView workbookViewId="0">
      <selection activeCell="B5" sqref="B5"/>
    </sheetView>
  </sheetViews>
  <sheetFormatPr defaultColWidth="8.77734375" defaultRowHeight="13.8"/>
  <cols>
    <col min="1" max="1" width="15.88671875" style="7" customWidth="1"/>
    <col min="2" max="2" width="32.21875" style="7" customWidth="1"/>
    <col min="3" max="3" width="94.109375" style="7" customWidth="1"/>
    <col min="4" max="16384" width="8.77734375" style="7"/>
  </cols>
  <sheetData>
    <row r="1" spans="1:3">
      <c r="A1" s="34" t="s">
        <v>88</v>
      </c>
      <c r="B1" s="34" t="s">
        <v>85</v>
      </c>
      <c r="C1" s="34" t="s">
        <v>86</v>
      </c>
    </row>
    <row r="2" spans="1:3">
      <c r="A2" s="7" t="s">
        <v>94</v>
      </c>
      <c r="B2" s="7" t="s">
        <v>96</v>
      </c>
      <c r="C2" s="35" t="s">
        <v>97</v>
      </c>
    </row>
    <row r="3" spans="1:3">
      <c r="A3" s="7" t="s">
        <v>94</v>
      </c>
      <c r="B3" s="7" t="s">
        <v>98</v>
      </c>
      <c r="C3" s="35" t="s">
        <v>99</v>
      </c>
    </row>
    <row r="4" spans="1:3">
      <c r="A4" s="7" t="s">
        <v>94</v>
      </c>
      <c r="B4" s="7" t="s">
        <v>100</v>
      </c>
      <c r="C4" s="35" t="s">
        <v>101</v>
      </c>
    </row>
    <row r="5" spans="1:3">
      <c r="A5" s="7" t="s">
        <v>94</v>
      </c>
      <c r="B5" s="7" t="s">
        <v>103</v>
      </c>
      <c r="C5" s="35" t="s">
        <v>104</v>
      </c>
    </row>
    <row r="6" spans="1:3">
      <c r="A6" s="7" t="s">
        <v>94</v>
      </c>
      <c r="B6" s="7" t="s">
        <v>106</v>
      </c>
      <c r="C6" s="35" t="s">
        <v>107</v>
      </c>
    </row>
  </sheetData>
  <dataValidations count="1">
    <dataValidation type="list" allowBlank="1" showInputMessage="1" showErrorMessage="1" sqref="A1:A6" xr:uid="{2C27FEE5-8DF6-4ECB-BFAD-15C74729700E}">
      <formula1>"Collections, Disbursements, User Provisioning, Remittances"</formula1>
    </dataValidation>
  </dataValidations>
  <hyperlinks>
    <hyperlink ref="C2" r:id="rId1" xr:uid="{3A582CC4-3E5C-4CAD-82E8-5D5E75A4F882}"/>
    <hyperlink ref="C3" r:id="rId2" xr:uid="{01285AED-2F74-4D77-A426-DC93A9121BE6}"/>
    <hyperlink ref="C4" r:id="rId3" xr:uid="{B99DFB6F-DB1E-4074-B3B1-D372D25EF867}"/>
    <hyperlink ref="C5" r:id="rId4" xr:uid="{1AA57DBB-4761-4DA7-8F31-957D23A446B2}"/>
    <hyperlink ref="C6" r:id="rId5" xr:uid="{63695303-F436-4F38-8B46-5024E26DEAD0}"/>
  </hyperlinks>
  <pageMargins left="0.7" right="0.7" top="0.75" bottom="0.75" header="0.3" footer="0.3"/>
  <pageSetup orientation="portrait"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965A1-48FB-4D0F-BB46-D94741ACBC50}">
  <dimension ref="A1:C10"/>
  <sheetViews>
    <sheetView topLeftCell="A2" workbookViewId="0">
      <selection activeCell="A23" sqref="A22:A23"/>
    </sheetView>
  </sheetViews>
  <sheetFormatPr defaultColWidth="8.77734375" defaultRowHeight="13.8"/>
  <cols>
    <col min="1" max="1" width="15.44140625" style="7" customWidth="1"/>
    <col min="2" max="2" width="22.77734375" style="7" customWidth="1"/>
    <col min="3" max="3" width="93.44140625" style="7" customWidth="1"/>
    <col min="4" max="16384" width="8.77734375" style="7"/>
  </cols>
  <sheetData>
    <row r="1" spans="1:3">
      <c r="A1" s="34" t="s">
        <v>88</v>
      </c>
      <c r="B1" s="34" t="s">
        <v>85</v>
      </c>
      <c r="C1" s="34" t="s">
        <v>86</v>
      </c>
    </row>
    <row r="2" spans="1:3">
      <c r="A2" s="7" t="s">
        <v>169</v>
      </c>
      <c r="B2" s="7" t="s">
        <v>109</v>
      </c>
      <c r="C2" s="35" t="s">
        <v>108</v>
      </c>
    </row>
    <row r="3" spans="1:3">
      <c r="B3" s="7" t="s">
        <v>111</v>
      </c>
      <c r="C3" s="35" t="s">
        <v>110</v>
      </c>
    </row>
    <row r="4" spans="1:3">
      <c r="B4" s="7" t="s">
        <v>112</v>
      </c>
      <c r="C4" s="35" t="s">
        <v>113</v>
      </c>
    </row>
    <row r="6" spans="1:3">
      <c r="B6" s="7" t="s">
        <v>160</v>
      </c>
      <c r="C6" s="35" t="s">
        <v>159</v>
      </c>
    </row>
    <row r="7" spans="1:3">
      <c r="B7" s="7" t="s">
        <v>161</v>
      </c>
      <c r="C7" s="35" t="s">
        <v>162</v>
      </c>
    </row>
    <row r="10" spans="1:3">
      <c r="C10" s="35"/>
    </row>
  </sheetData>
  <dataValidations count="1">
    <dataValidation type="list" allowBlank="1" showInputMessage="1" showErrorMessage="1" sqref="A1" xr:uid="{29906F87-180F-4403-A8AB-9160406F1999}">
      <formula1>"Collections, Disbursements, User Provisioning, Remittances"</formula1>
    </dataValidation>
  </dataValidations>
  <hyperlinks>
    <hyperlink ref="C2" r:id="rId1" xr:uid="{EF9CAF7C-0059-4E59-BD8F-27DBA1097257}"/>
    <hyperlink ref="C3" r:id="rId2" xr:uid="{1C2A7D3E-09C9-48C1-903C-4212CE4463D2}"/>
    <hyperlink ref="C4" r:id="rId3" xr:uid="{4BDADD87-0A43-4CA2-A1A2-5874F5A4623F}"/>
    <hyperlink ref="C6" r:id="rId4" xr:uid="{42092042-BB62-446E-84F0-F28F0BB99FA5}"/>
    <hyperlink ref="C7" r:id="rId5" xr:uid="{5DE66561-66B1-4A23-AAD9-05D14D90BB7E}"/>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SignUp &amp; Provision API User</vt:lpstr>
      <vt:lpstr>Collection</vt:lpstr>
      <vt:lpstr>Disbursement and Remittance</vt:lpstr>
      <vt:lpstr>ValidateAccount</vt:lpstr>
      <vt:lpstr>Balance</vt:lpstr>
      <vt:lpstr>FAQ</vt:lpstr>
      <vt:lpstr>DocCollections</vt:lpstr>
      <vt:lpstr>DocDisbursements</vt:lpstr>
      <vt:lpstr>DocUserProvisioning</vt:lpstr>
      <vt:lpstr>Balance!Print_Area</vt:lpstr>
      <vt:lpstr>Collection!Print_Area</vt:lpstr>
      <vt:lpstr>'Disbursement and Remittance'!Print_Area</vt:lpstr>
      <vt:lpstr>ValidateAccount!Print_Area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Arbaaz Abdulwahid</dc:creator>
  <cp:lastModifiedBy>Fortunate Okello [ MTN Uganda ]</cp:lastModifiedBy>
  <cp:lastPrinted>2023-06-14T06:17:48Z</cp:lastPrinted>
  <dcterms:created xsi:type="dcterms:W3CDTF">2017-04-18T09:03:00Z</dcterms:created>
  <dcterms:modified xsi:type="dcterms:W3CDTF">2026-04-17T08:23:09Z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6F1EFDFD40E044D5B03592563740A37D</vt:lpwstr>
  </property>
  <property fmtid="{D5CDD505-2E9C-101B-9397-08002B2CF9AE}" pid="3" name="KSOProductBuildVer">
    <vt:lpwstr>2052-11.1.0.12763</vt:lpwstr>
  </property>
  <property fmtid="{D5CDD505-2E9C-101B-9397-08002B2CF9AE}" pid="4" name="MSIP_Label_b4310d7d-6047-4ff9-b5ce-71e5a0ff4d2b_Enabled">
    <vt:lpwstr>true</vt:lpwstr>
  </property>
  <property fmtid="{D5CDD505-2E9C-101B-9397-08002B2CF9AE}" pid="5" name="MSIP_Label_b4310d7d-6047-4ff9-b5ce-71e5a0ff4d2b_SetDate">
    <vt:lpwstr>2023-04-03T07:48:37Z</vt:lpwstr>
  </property>
  <property fmtid="{D5CDD505-2E9C-101B-9397-08002B2CF9AE}" pid="6" name="MSIP_Label_b4310d7d-6047-4ff9-b5ce-71e5a0ff4d2b_Method">
    <vt:lpwstr>Privileged</vt:lpwstr>
  </property>
  <property fmtid="{D5CDD505-2E9C-101B-9397-08002B2CF9AE}" pid="7" name="MSIP_Label_b4310d7d-6047-4ff9-b5ce-71e5a0ff4d2b_Name">
    <vt:lpwstr>b4310d7d-6047-4ff9-b5ce-71e5a0ff4d2b</vt:lpwstr>
  </property>
  <property fmtid="{D5CDD505-2E9C-101B-9397-08002B2CF9AE}" pid="8" name="MSIP_Label_b4310d7d-6047-4ff9-b5ce-71e5a0ff4d2b_SiteId">
    <vt:lpwstr>c9b9cb50-3644-4db4-a267-fa84df2f4ceb</vt:lpwstr>
  </property>
  <property fmtid="{D5CDD505-2E9C-101B-9397-08002B2CF9AE}" pid="9" name="MSIP_Label_b4310d7d-6047-4ff9-b5ce-71e5a0ff4d2b_ActionId">
    <vt:lpwstr>d8724a7c-0422-4c8e-b761-c4a2082381b5</vt:lpwstr>
  </property>
  <property fmtid="{D5CDD505-2E9C-101B-9397-08002B2CF9AE}" pid="10" name="MSIP_Label_b4310d7d-6047-4ff9-b5ce-71e5a0ff4d2b_ContentBits">
    <vt:lpwstr>2</vt:lpwstr>
  </property>
</Properties>
</file>